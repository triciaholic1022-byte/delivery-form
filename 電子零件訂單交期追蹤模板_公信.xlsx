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訂單交期追蹤" sheetId="1" state="visible" r:id="rId3"/>
    <sheet name="客戶FCST填寫表" sheetId="2" state="visible" r:id="rId4"/>
    <sheet name="交期確認單" sheetId="3" state="visible" r:id="rId5"/>
    <sheet name="催貨記錄" sheetId="4" state="visible" r:id="rId6"/>
    <sheet name="使用說明" sheetId="5" state="visible" r:id="rId7"/>
  </sheets>
  <definedNames>
    <definedName function="false" hidden="false" localSheetId="2" name="_xlnm.Print_Area" vbProcedure="false">交期確認單!$A$1:$M$39</definedName>
    <definedName function="false" hidden="false" localSheetId="1" name="_xlnm.Print_Area" vbProcedure="false">客戶FCST填寫表!$A$1:$L$32</definedName>
    <definedName function="false" hidden="true" localSheetId="0" name="_xlnm._FilterDatabase" vbProcedure="false">訂單交期追蹤!$A$3:$AA$28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<sst xmlns="http://schemas.openxmlformats.org/spreadsheetml/2006/main" count="370" uniqueCount="223">
  <si>
    <t xml:space="preserve">⚡ 電子零件訂單交期追蹤表</t>
  </si>
  <si>
    <r>
      <rPr>
        <i val="true"/>
        <sz val="10"/>
        <color rgb="FFFFFFFF"/>
        <rFont val="DejaVu Sans"/>
        <family val="2"/>
      </rPr>
      <t xml:space="preserve">版本：</t>
    </r>
    <r>
      <rPr>
        <i val="true"/>
        <sz val="10"/>
        <color rgb="FFFFFFFF"/>
        <rFont val="DejaVu Sans"/>
        <family val="2"/>
        <charset val="1"/>
      </rPr>
      <t xml:space="preserve">v1.0</t>
    </r>
    <r>
      <rPr>
        <i val="true"/>
        <sz val="10"/>
        <color rgb="FFFFFFFF"/>
        <rFont val="DejaVu Sans"/>
        <family val="2"/>
      </rPr>
      <t xml:space="preserve">　　製作日期：</t>
    </r>
    <r>
      <rPr>
        <i val="true"/>
        <sz val="10"/>
        <color rgb="FFFFFFFF"/>
        <rFont val="DejaVu Sans"/>
        <family val="2"/>
        <charset val="1"/>
      </rPr>
      <t xml:space="preserve">2026/04/15</t>
    </r>
    <r>
      <rPr>
        <i val="true"/>
        <sz val="10"/>
        <color rgb="FFFFFFFF"/>
        <rFont val="DejaVu Sans"/>
        <family val="2"/>
      </rPr>
      <t xml:space="preserve">　　供應商：</t>
    </r>
    <r>
      <rPr>
        <i val="true"/>
        <sz val="10"/>
        <color rgb="FFFFFFFF"/>
        <rFont val="DejaVu Sans"/>
        <family val="2"/>
        <charset val="1"/>
      </rPr>
      <t xml:space="preserve">____________________</t>
    </r>
  </si>
  <si>
    <r>
      <rPr>
        <i val="true"/>
        <sz val="9"/>
        <color rgb="FFFFFFFF"/>
        <rFont val="DejaVu Sans"/>
        <family val="2"/>
      </rPr>
      <t xml:space="preserve">使用說明：狀態欄請選擇對應選項；交期落差欄自動計算（負數</t>
    </r>
    <r>
      <rPr>
        <i val="true"/>
        <sz val="9"/>
        <color rgb="FFFFFFFF"/>
        <rFont val="DejaVu Sans"/>
        <family val="2"/>
        <charset val="1"/>
      </rPr>
      <t xml:space="preserve">=</t>
    </r>
    <r>
      <rPr>
        <i val="true"/>
        <sz val="9"/>
        <color rgb="FFFFFFFF"/>
        <rFont val="DejaVu Sans"/>
        <family val="2"/>
      </rPr>
      <t xml:space="preserve">原廠落後）；</t>
    </r>
    <r>
      <rPr>
        <i val="true"/>
        <sz val="9"/>
        <color rgb="FFFFFFFF"/>
        <rFont val="DejaVu Sans"/>
        <family val="2"/>
        <charset val="1"/>
      </rPr>
      <t xml:space="preserve">FCST</t>
    </r>
    <r>
      <rPr>
        <i val="true"/>
        <sz val="9"/>
        <color rgb="FFFFFFFF"/>
        <rFont val="DejaVu Sans"/>
        <family val="2"/>
      </rPr>
      <t xml:space="preserve">請由客戶手動填入各月預測數量（</t>
    </r>
    <r>
      <rPr>
        <i val="true"/>
        <sz val="9"/>
        <color rgb="FFFFFFFF"/>
        <rFont val="DejaVu Sans"/>
        <family val="2"/>
        <charset val="1"/>
      </rPr>
      <t xml:space="preserve">pcs</t>
    </r>
    <r>
      <rPr>
        <i val="true"/>
        <sz val="9"/>
        <color rgb="FFFFFFFF"/>
        <rFont val="DejaVu Sans"/>
        <family val="2"/>
      </rPr>
      <t xml:space="preserve">）</t>
    </r>
  </si>
  <si>
    <t xml:space="preserve">流水號</t>
  </si>
  <si>
    <r>
      <rPr>
        <b val="true"/>
        <sz val="11"/>
        <color rgb="FFFFFFFF"/>
        <rFont val="DejaVu Sans"/>
        <family val="2"/>
      </rPr>
      <t xml:space="preserve">客戶料號
</t>
    </r>
    <r>
      <rPr>
        <b val="true"/>
        <sz val="11"/>
        <color rgb="FFFFFFFF"/>
        <rFont val="DejaVu Sans"/>
        <family val="2"/>
        <charset val="1"/>
      </rPr>
      <t xml:space="preserve">Customer P/N</t>
    </r>
  </si>
  <si>
    <r>
      <rPr>
        <b val="true"/>
        <sz val="11"/>
        <color rgb="FFFFFFFF"/>
        <rFont val="DejaVu Sans"/>
        <family val="2"/>
      </rPr>
      <t xml:space="preserve">製造商料號
</t>
    </r>
    <r>
      <rPr>
        <b val="true"/>
        <sz val="11"/>
        <color rgb="FFFFFFFF"/>
        <rFont val="DejaVu Sans"/>
        <family val="2"/>
        <charset val="1"/>
      </rPr>
      <t xml:space="preserve">Mfr P/N</t>
    </r>
  </si>
  <si>
    <t xml:space="preserve">D/N</t>
  </si>
  <si>
    <r>
      <rPr>
        <b val="true"/>
        <sz val="11"/>
        <color rgb="FFFFFFFF"/>
        <rFont val="DejaVu Sans"/>
        <family val="2"/>
      </rPr>
      <t xml:space="preserve">品牌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製造商</t>
    </r>
  </si>
  <si>
    <t xml:space="preserve">客戶訂單編號</t>
  </si>
  <si>
    <t xml:space="preserve">下單日期</t>
  </si>
  <si>
    <r>
      <rPr>
        <b val="true"/>
        <sz val="11"/>
        <color rgb="FFFFFFFF"/>
        <rFont val="DejaVu Sans"/>
        <family val="2"/>
      </rPr>
      <t xml:space="preserve">訂購數量
</t>
    </r>
    <r>
      <rPr>
        <b val="true"/>
        <sz val="11"/>
        <color rgb="FFFFFFFF"/>
        <rFont val="DejaVu Sans"/>
        <family val="2"/>
        <charset val="1"/>
      </rPr>
      <t xml:space="preserve">(pcs)</t>
    </r>
  </si>
  <si>
    <t xml:space="preserve">客戶要求交期</t>
  </si>
  <si>
    <t xml:space="preserve">L/T</t>
  </si>
  <si>
    <t xml:space="preserve">原廠承諾交期</t>
  </si>
  <si>
    <r>
      <rPr>
        <b val="true"/>
        <sz val="11"/>
        <color rgb="FFFFFFFF"/>
        <rFont val="DejaVu Sans"/>
        <family val="2"/>
      </rPr>
      <t xml:space="preserve">交期落差
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天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</si>
  <si>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預計出貨日</t>
  </si>
  <si>
    <t xml:space="preserve">實際出貨日</t>
  </si>
  <si>
    <t xml:space="preserve">最新進度說明</t>
  </si>
  <si>
    <t xml:space="preserve">備註</t>
  </si>
  <si>
    <t xml:space="preserve">FCST
2026/04
(pcs)</t>
  </si>
  <si>
    <t xml:space="preserve">FCST
2026/05
(pcs)</t>
  </si>
  <si>
    <t xml:space="preserve">FCST
2026/06
(pcs)</t>
  </si>
  <si>
    <t xml:space="preserve">FCST
2026/07
(pcs)</t>
  </si>
  <si>
    <t xml:space="preserve">FCST
2026/08
(pcs)</t>
  </si>
  <si>
    <t xml:space="preserve">FCST
2026/09
(pcs)</t>
  </si>
  <si>
    <r>
      <rPr>
        <b val="true"/>
        <sz val="11"/>
        <color rgb="FFFFFFFF"/>
        <rFont val="Arial"/>
        <family val="2"/>
        <charset val="1"/>
      </rPr>
      <t xml:space="preserve">FCST
</t>
    </r>
    <r>
      <rPr>
        <b val="true"/>
        <sz val="11"/>
        <color rgb="FFFFFFFF"/>
        <rFont val="DejaVu Sans"/>
        <family val="2"/>
      </rPr>
      <t xml:space="preserve">合計</t>
    </r>
    <r>
      <rPr>
        <b val="true"/>
        <sz val="11"/>
        <color rgb="FFFFFFFF"/>
        <rFont val="Arial"/>
        <family val="2"/>
        <charset val="1"/>
      </rPr>
      <t xml:space="preserve">(pcs)</t>
    </r>
  </si>
  <si>
    <r>
      <rPr>
        <b val="true"/>
        <sz val="11"/>
        <color rgb="FFFFFFFF"/>
        <rFont val="DejaVu Sans"/>
        <family val="2"/>
      </rPr>
      <t xml:space="preserve">月均
</t>
    </r>
    <r>
      <rPr>
        <b val="true"/>
        <sz val="11"/>
        <color rgb="FFFFFFFF"/>
        <rFont val="DejaVu Sans"/>
        <family val="2"/>
        <charset val="1"/>
      </rPr>
      <t xml:space="preserve">FCST(pcs)</t>
    </r>
  </si>
  <si>
    <t xml:space="preserve">45F347644-0M0B</t>
  </si>
  <si>
    <t xml:space="preserve">APXF250ARA470MF611</t>
  </si>
  <si>
    <t xml:space="preserve">174828</t>
  </si>
  <si>
    <t xml:space="preserve">NCC</t>
  </si>
  <si>
    <t xml:space="preserve">T421-26030021-3</t>
  </si>
  <si>
    <t xml:space="preserve">T421-26030021-4</t>
  </si>
  <si>
    <t xml:space="preserve">45F127765-0M1B</t>
  </si>
  <si>
    <t xml:space="preserve">HHXD350ARA271MJA0G</t>
  </si>
  <si>
    <t xml:space="preserve">225686</t>
  </si>
  <si>
    <t xml:space="preserve">T421-26010028-1</t>
  </si>
  <si>
    <t xml:space="preserve">T421-26010216-1</t>
  </si>
  <si>
    <t xml:space="preserve">T421-26030021-5</t>
  </si>
  <si>
    <t xml:space="preserve">45F122720-0M0B</t>
  </si>
  <si>
    <t xml:space="preserve">APXF6R3ARA221ME611</t>
  </si>
  <si>
    <t xml:space="preserve">269438</t>
  </si>
  <si>
    <t xml:space="preserve">T421-26030223-2</t>
  </si>
  <si>
    <t xml:space="preserve">T421-26030223-3</t>
  </si>
  <si>
    <t xml:space="preserve">T421-26030223-4</t>
  </si>
  <si>
    <t xml:space="preserve">T421-26030223-5</t>
  </si>
  <si>
    <t xml:space="preserve">T421-26040067-1</t>
  </si>
  <si>
    <t xml:space="preserve">T421-26040067-2</t>
  </si>
  <si>
    <t xml:space="preserve">45F322740-1M3B</t>
  </si>
  <si>
    <t xml:space="preserve">APXK6R3ARA221MF46G</t>
  </si>
  <si>
    <t xml:space="preserve">395620</t>
  </si>
  <si>
    <t xml:space="preserve">T421-26030172-7</t>
  </si>
  <si>
    <t xml:space="preserve">45F310742-0M0B</t>
  </si>
  <si>
    <t xml:space="preserve">APXK160ARA101MF611</t>
  </si>
  <si>
    <t xml:space="preserve">689046</t>
  </si>
  <si>
    <t xml:space="preserve">T421-26030021-2</t>
  </si>
  <si>
    <t xml:space="preserve">T421-26030172-14</t>
  </si>
  <si>
    <t xml:space="preserve">T421-26040067-10</t>
  </si>
  <si>
    <t xml:space="preserve">45F333740-4M4B</t>
  </si>
  <si>
    <t xml:space="preserve">6VHV330MC6</t>
  </si>
  <si>
    <t xml:space="preserve">VN0057</t>
  </si>
  <si>
    <t xml:space="preserve">VINA</t>
  </si>
  <si>
    <t xml:space="preserve">T421-26030172-15</t>
  </si>
  <si>
    <t xml:space="preserve">T421-26030223-15</t>
  </si>
  <si>
    <t xml:space="preserve">T421-26030235-1</t>
  </si>
  <si>
    <t xml:space="preserve">T421-26030235-2</t>
  </si>
  <si>
    <t xml:space="preserve">T421-26040056-1</t>
  </si>
  <si>
    <t xml:space="preserve">T421-26040056-2</t>
  </si>
  <si>
    <t xml:space="preserve">T421-26040056-3</t>
  </si>
  <si>
    <t xml:space="preserve">T421-26040056-4</t>
  </si>
  <si>
    <t xml:space="preserve">T421-26040056-5</t>
  </si>
  <si>
    <t xml:space="preserve">T421-26040067-11</t>
  </si>
  <si>
    <t xml:space="preserve">📊 統計摘要</t>
  </si>
  <si>
    <t xml:space="preserve">總筆數</t>
  </si>
  <si>
    <t xml:space="preserve">已下單</t>
  </si>
  <si>
    <t xml:space="preserve">延誤風險</t>
  </si>
  <si>
    <t xml:space="preserve">已延誤</t>
  </si>
  <si>
    <t xml:space="preserve">已交貨</t>
  </si>
  <si>
    <t xml:space="preserve">待確認</t>
  </si>
  <si>
    <t xml:space="preserve">FCST
2026/04</t>
  </si>
  <si>
    <t xml:space="preserve">FCST
2026/05</t>
  </si>
  <si>
    <t xml:space="preserve">FCST
2026/06</t>
  </si>
  <si>
    <t xml:space="preserve">FCST
2026/07</t>
  </si>
  <si>
    <t xml:space="preserve">FCST
2026/08</t>
  </si>
  <si>
    <t xml:space="preserve">FCST
2026/09</t>
  </si>
  <si>
    <r>
      <rPr>
        <b val="true"/>
        <sz val="10"/>
        <color rgb="FFFFFFFF"/>
        <rFont val="Arial"/>
        <family val="2"/>
        <charset val="1"/>
      </rPr>
      <t xml:space="preserve">FCST
</t>
    </r>
    <r>
      <rPr>
        <b val="true"/>
        <sz val="10"/>
        <color rgb="FFFFFFFF"/>
        <rFont val="DejaVu Sans"/>
        <family val="2"/>
      </rPr>
      <t xml:space="preserve">合計</t>
    </r>
  </si>
  <si>
    <r>
      <rPr>
        <b val="true"/>
        <sz val="10"/>
        <color rgb="FFFFFFFF"/>
        <rFont val="DejaVu Sans"/>
        <family val="2"/>
      </rPr>
      <t xml:space="preserve">月均
</t>
    </r>
    <r>
      <rPr>
        <b val="true"/>
        <sz val="10"/>
        <color rgb="FFFFFFFF"/>
        <rFont val="DejaVu Sans"/>
        <family val="2"/>
        <charset val="1"/>
      </rPr>
      <t xml:space="preserve">FCST</t>
    </r>
  </si>
  <si>
    <r>
      <rPr>
        <b val="true"/>
        <sz val="18"/>
        <color rgb="FFFFFFFF"/>
        <rFont val="DejaVu Sans"/>
        <family val="2"/>
      </rPr>
      <t xml:space="preserve">客戶預測需求填寫表  </t>
    </r>
    <r>
      <rPr>
        <b val="true"/>
        <sz val="18"/>
        <color rgb="FFFFFFFF"/>
        <rFont val="DejaVu Sans"/>
        <family val="2"/>
        <charset val="1"/>
      </rPr>
      <t xml:space="preserve">|  Customer Forecast Request Form</t>
    </r>
  </si>
  <si>
    <r>
      <rPr>
        <sz val="10"/>
        <color rgb="FFFFFFFF"/>
        <rFont val="DejaVu Sans"/>
        <family val="2"/>
      </rPr>
      <t xml:space="preserve">預測區間：</t>
    </r>
    <r>
      <rPr>
        <sz val="10"/>
        <color rgb="FFFFFFFF"/>
        <rFont val="DejaVu Sans"/>
        <family val="2"/>
        <charset val="1"/>
      </rPr>
      <t xml:space="preserve">2026/04 </t>
    </r>
    <r>
      <rPr>
        <sz val="10"/>
        <color rgb="FFFFFFFF"/>
        <rFont val="DejaVu Sans"/>
        <family val="2"/>
      </rPr>
      <t xml:space="preserve">～ </t>
    </r>
    <r>
      <rPr>
        <sz val="10"/>
        <color rgb="FFFFFFFF"/>
        <rFont val="DejaVu Sans"/>
        <family val="2"/>
        <charset val="1"/>
      </rPr>
      <t xml:space="preserve">2026/09</t>
    </r>
    <r>
      <rPr>
        <sz val="10"/>
        <color rgb="FFFFFFFF"/>
        <rFont val="DejaVu Sans"/>
        <family val="2"/>
      </rPr>
      <t xml:space="preserve">　　　發出日期：</t>
    </r>
    <r>
      <rPr>
        <sz val="10"/>
        <color rgb="FFFFFFFF"/>
        <rFont val="DejaVu Sans"/>
        <family val="2"/>
        <charset val="1"/>
      </rPr>
      <t xml:space="preserve">2026 / 04 / 15</t>
    </r>
    <r>
      <rPr>
        <sz val="10"/>
        <color rgb="FFFFFFFF"/>
        <rFont val="DejaVu Sans"/>
        <family val="2"/>
      </rPr>
      <t xml:space="preserve">　　　請於收到後 </t>
    </r>
    <r>
      <rPr>
        <sz val="10"/>
        <color rgb="FFFFFFFF"/>
        <rFont val="DejaVu Sans"/>
        <family val="2"/>
        <charset val="1"/>
      </rPr>
      <t xml:space="preserve">5 </t>
    </r>
    <r>
      <rPr>
        <sz val="10"/>
        <color rgb="FFFFFFFF"/>
        <rFont val="DejaVu Sans"/>
        <family val="2"/>
      </rPr>
      <t xml:space="preserve">個工作天內回傳，謝謝！</t>
    </r>
  </si>
  <si>
    <t xml:space="preserve">📋  填寫說明</t>
  </si>
  <si>
    <r>
      <rPr>
        <sz val="10"/>
        <color rgb="FF404040"/>
        <rFont val="DejaVu Sans"/>
        <family val="2"/>
      </rPr>
      <t xml:space="preserve">① 請在下方表格，針對每個料號填入未來六個月的預計採購數量（單位：</t>
    </r>
    <r>
      <rPr>
        <sz val="10"/>
        <color rgb="FF404040"/>
        <rFont val="DejaVu Sans"/>
        <family val="2"/>
        <charset val="1"/>
      </rPr>
      <t xml:space="preserve">pcs</t>
    </r>
    <r>
      <rPr>
        <sz val="10"/>
        <color rgb="FF404040"/>
        <rFont val="DejaVu Sans"/>
        <family val="2"/>
      </rPr>
      <t xml:space="preserve">）</t>
    </r>
  </si>
  <si>
    <r>
      <rPr>
        <sz val="10"/>
        <color rgb="FF404040"/>
        <rFont val="DejaVu Sans"/>
        <family val="2"/>
      </rPr>
      <t xml:space="preserve">② 若某個月暫無需求，請填入 </t>
    </r>
    <r>
      <rPr>
        <sz val="10"/>
        <color rgb="FF404040"/>
        <rFont val="DejaVu Sans"/>
        <family val="2"/>
        <charset val="1"/>
      </rPr>
      <t xml:space="preserve">0</t>
    </r>
    <r>
      <rPr>
        <sz val="10"/>
        <color rgb="FF404040"/>
        <rFont val="DejaVu Sans"/>
        <family val="2"/>
      </rPr>
      <t xml:space="preserve">，勿留空白（方便我們確認您已確認該月份）</t>
    </r>
  </si>
  <si>
    <t xml:space="preserve">③ 此表僅供預測參考，不代表正式訂單，實際採購仍需另行下訂單確認</t>
  </si>
  <si>
    <t xml:space="preserve">料品資訊（由我方提供，請勿修改）</t>
  </si>
  <si>
    <r>
      <rPr>
        <b val="true"/>
        <sz val="10"/>
        <color rgb="FFFFFFFF"/>
        <rFont val="DejaVu Sans"/>
        <family val="2"/>
      </rPr>
      <t xml:space="preserve">▼ 請在此區域填入各月預測數量（</t>
    </r>
    <r>
      <rPr>
        <b val="true"/>
        <sz val="10"/>
        <color rgb="FFFFFFFF"/>
        <rFont val="DejaVu Sans"/>
        <family val="2"/>
        <charset val="1"/>
      </rPr>
      <t xml:space="preserve">pcs</t>
    </r>
    <r>
      <rPr>
        <b val="true"/>
        <sz val="10"/>
        <color rgb="FFFFFFFF"/>
        <rFont val="DejaVu Sans"/>
        <family val="2"/>
      </rPr>
      <t xml:space="preserve">）▼</t>
    </r>
  </si>
  <si>
    <r>
      <rPr>
        <b val="true"/>
        <sz val="10"/>
        <color rgb="FFFFFFFF"/>
        <rFont val="DejaVu Sans"/>
        <family val="2"/>
      </rPr>
      <t xml:space="preserve">客戶料號
</t>
    </r>
    <r>
      <rPr>
        <b val="true"/>
        <sz val="10"/>
        <color rgb="FFFFFFFF"/>
        <rFont val="DejaVu Sans"/>
        <family val="2"/>
        <charset val="1"/>
      </rPr>
      <t xml:space="preserve">Customer P/N</t>
    </r>
  </si>
  <si>
    <r>
      <rPr>
        <b val="true"/>
        <sz val="10"/>
        <color rgb="FFFFFFFF"/>
        <rFont val="DejaVu Sans"/>
        <family val="2"/>
      </rPr>
      <t xml:space="preserve">製造商料號
</t>
    </r>
    <r>
      <rPr>
        <b val="true"/>
        <sz val="10"/>
        <color rgb="FFFFFFFF"/>
        <rFont val="DejaVu Sans"/>
        <family val="2"/>
        <charset val="1"/>
      </rPr>
      <t xml:space="preserve">Mfr P/N</t>
    </r>
  </si>
  <si>
    <t xml:space="preserve">2026
/04</t>
  </si>
  <si>
    <t xml:space="preserve">2026
/05</t>
  </si>
  <si>
    <t xml:space="preserve">2026
/06</t>
  </si>
  <si>
    <t xml:space="preserve">2026
/07</t>
  </si>
  <si>
    <t xml:space="preserve">2026
/08</t>
  </si>
  <si>
    <t xml:space="preserve">2026
/09</t>
  </si>
  <si>
    <r>
      <rPr>
        <b val="true"/>
        <sz val="10"/>
        <color rgb="FFFFFFFF"/>
        <rFont val="DejaVu Sans"/>
        <family val="2"/>
      </rPr>
      <t xml:space="preserve">合計
</t>
    </r>
    <r>
      <rPr>
        <b val="true"/>
        <sz val="10"/>
        <color rgb="FFFFFFFF"/>
        <rFont val="DejaVu Sans"/>
        <family val="2"/>
        <charset val="1"/>
      </rPr>
      <t xml:space="preserve">Total</t>
    </r>
  </si>
  <si>
    <r>
      <rPr>
        <b val="true"/>
        <sz val="11"/>
        <color rgb="FFFFFFFF"/>
        <rFont val="DejaVu Sans"/>
        <family val="2"/>
      </rPr>
      <t xml:space="preserve">月合計  </t>
    </r>
    <r>
      <rPr>
        <b val="true"/>
        <sz val="11"/>
        <color rgb="FFFFFFFF"/>
        <rFont val="DejaVu Sans"/>
        <family val="2"/>
        <charset val="1"/>
      </rPr>
      <t xml:space="preserve">Monthly Total</t>
    </r>
  </si>
  <si>
    <r>
      <rPr>
        <i val="true"/>
        <sz val="10"/>
        <color rgb="FF737373"/>
        <rFont val="DejaVu Sans"/>
        <family val="2"/>
      </rPr>
      <t xml:space="preserve">感謝您的配合！如有任何疑問，請聯繫您的業務窗口。　</t>
    </r>
    <r>
      <rPr>
        <i val="true"/>
        <sz val="10"/>
        <color rgb="FF737373"/>
        <rFont val="DejaVu Sans"/>
        <family val="2"/>
        <charset val="1"/>
      </rPr>
      <t xml:space="preserve">Thank you for your cooperation!</t>
    </r>
  </si>
  <si>
    <r>
      <rPr>
        <b val="true"/>
        <sz val="20"/>
        <color rgb="FFFFFFFF"/>
        <rFont val="DejaVu Sans"/>
        <family val="2"/>
      </rPr>
      <t xml:space="preserve">交期確認單  ／  </t>
    </r>
    <r>
      <rPr>
        <b val="true"/>
        <sz val="20"/>
        <color rgb="FFFFFFFF"/>
        <rFont val="DejaVu Sans"/>
        <family val="2"/>
        <charset val="1"/>
      </rPr>
      <t xml:space="preserve">Delivery Confirmation &amp; Pull-in Request</t>
    </r>
  </si>
  <si>
    <r>
      <rPr>
        <i val="true"/>
        <sz val="10"/>
        <color rgb="FFFFFFFF"/>
        <rFont val="DejaVu Sans"/>
        <family val="2"/>
      </rPr>
      <t xml:space="preserve">發出日期：</t>
    </r>
    <r>
      <rPr>
        <i val="true"/>
        <sz val="10"/>
        <color rgb="FFFFFFFF"/>
        <rFont val="DejaVu Sans"/>
        <family val="2"/>
        <charset val="1"/>
      </rPr>
      <t xml:space="preserve">2026 / 04 / 15</t>
    </r>
    <r>
      <rPr>
        <i val="true"/>
        <sz val="10"/>
        <color rgb="FFFFFFFF"/>
        <rFont val="DejaVu Sans"/>
        <family val="2"/>
      </rPr>
      <t xml:space="preserve">　　供應商：貴司業務窗口</t>
    </r>
  </si>
  <si>
    <r>
      <rPr>
        <i val="true"/>
        <sz val="10"/>
        <color rgb="FFFFFFFF"/>
        <rFont val="DejaVu Sans"/>
        <family val="2"/>
      </rPr>
      <t xml:space="preserve">客戶名稱：</t>
    </r>
    <r>
      <rPr>
        <i val="true"/>
        <sz val="10"/>
        <color rgb="FFFFFFFF"/>
        <rFont val="DejaVu Sans"/>
        <family val="2"/>
        <charset val="1"/>
      </rPr>
      <t xml:space="preserve">___________________________</t>
    </r>
  </si>
  <si>
    <t xml:space="preserve">📌  如何閱讀本表</t>
  </si>
  <si>
    <r>
      <rPr>
        <sz val="10"/>
        <color rgb="FF404040"/>
        <rFont val="DejaVu Sans"/>
        <family val="2"/>
      </rPr>
      <t xml:space="preserve">① 左側灰色區塊（</t>
    </r>
    <r>
      <rPr>
        <sz val="10"/>
        <color rgb="FF404040"/>
        <rFont val="DejaVu Sans"/>
        <family val="2"/>
        <charset val="1"/>
      </rPr>
      <t xml:space="preserve">B</t>
    </r>
    <r>
      <rPr>
        <sz val="10"/>
        <color rgb="FF404040"/>
        <rFont val="DejaVu Sans"/>
        <family val="2"/>
      </rPr>
      <t xml:space="preserve">～</t>
    </r>
    <r>
      <rPr>
        <sz val="10"/>
        <color rgb="FF404040"/>
        <rFont val="DejaVu Sans"/>
        <family val="2"/>
        <charset val="1"/>
      </rPr>
      <t xml:space="preserve">I</t>
    </r>
    <r>
      <rPr>
        <sz val="10"/>
        <color rgb="FF404040"/>
        <rFont val="DejaVu Sans"/>
        <family val="2"/>
      </rPr>
      <t xml:space="preserve">欄）為本公司提供的交期資訊，請勿修改</t>
    </r>
  </si>
  <si>
    <r>
      <rPr>
        <sz val="10"/>
        <color rgb="FF404040"/>
        <rFont val="DejaVu Sans"/>
        <family val="2"/>
      </rPr>
      <t xml:space="preserve">② 右側黃色區塊（</t>
    </r>
    <r>
      <rPr>
        <sz val="10"/>
        <color rgb="FF404040"/>
        <rFont val="DejaVu Sans"/>
        <family val="2"/>
        <charset val="1"/>
      </rPr>
      <t xml:space="preserve">J</t>
    </r>
    <r>
      <rPr>
        <sz val="10"/>
        <color rgb="FF404040"/>
        <rFont val="DejaVu Sans"/>
        <family val="2"/>
      </rPr>
      <t xml:space="preserve">～</t>
    </r>
    <r>
      <rPr>
        <sz val="10"/>
        <color rgb="FF404040"/>
        <rFont val="DejaVu Sans"/>
        <family val="2"/>
        <charset val="1"/>
      </rPr>
      <t xml:space="preserve">K</t>
    </r>
    <r>
      <rPr>
        <sz val="10"/>
        <color rgb="FF404040"/>
        <rFont val="DejaVu Sans"/>
        <family val="2"/>
      </rPr>
      <t xml:space="preserve">欄）為您的 </t>
    </r>
    <r>
      <rPr>
        <sz val="10"/>
        <color rgb="FF404040"/>
        <rFont val="DejaVu Sans"/>
        <family val="2"/>
        <charset val="1"/>
      </rPr>
      <t xml:space="preserve">Pull-in </t>
    </r>
    <r>
      <rPr>
        <sz val="10"/>
        <color rgb="FF404040"/>
        <rFont val="DejaVu Sans"/>
        <family val="2"/>
      </rPr>
      <t xml:space="preserve">申請欄位，如需提前交期，請填入「希望交期」並說明原因</t>
    </r>
  </si>
  <si>
    <r>
      <rPr>
        <sz val="10"/>
        <color rgb="FF404040"/>
        <rFont val="DejaVu Sans"/>
        <family val="2"/>
      </rPr>
      <t xml:space="preserve">③ 狀態欄：✅ 準時  ⚠️ 輕微延誤（≤</t>
    </r>
    <r>
      <rPr>
        <sz val="10"/>
        <color rgb="FF404040"/>
        <rFont val="DejaVu Sans"/>
        <family val="2"/>
        <charset val="1"/>
      </rPr>
      <t xml:space="preserve">7</t>
    </r>
    <r>
      <rPr>
        <sz val="10"/>
        <color rgb="FF404040"/>
        <rFont val="DejaVu Sans"/>
        <family val="2"/>
      </rPr>
      <t xml:space="preserve">天）  🔴 建議</t>
    </r>
    <r>
      <rPr>
        <sz val="10"/>
        <color rgb="FF404040"/>
        <rFont val="DejaVu Sans"/>
        <family val="2"/>
        <charset val="1"/>
      </rPr>
      <t xml:space="preserve">Pull-in</t>
    </r>
    <r>
      <rPr>
        <sz val="10"/>
        <color rgb="FF404040"/>
        <rFont val="DejaVu Sans"/>
        <family val="2"/>
      </rPr>
      <t xml:space="preserve">（</t>
    </r>
    <r>
      <rPr>
        <sz val="10"/>
        <color rgb="FF404040"/>
        <rFont val="DejaVu Sans"/>
        <family val="2"/>
        <charset val="1"/>
      </rPr>
      <t xml:space="preserve">&gt;7</t>
    </r>
    <r>
      <rPr>
        <sz val="10"/>
        <color rgb="FF404040"/>
        <rFont val="DejaVu Sans"/>
        <family val="2"/>
      </rPr>
      <t xml:space="preserve">天）  🔵 待確認交期</t>
    </r>
  </si>
  <si>
    <r>
      <rPr>
        <b val="true"/>
        <sz val="10"/>
        <color rgb="FFFFFFFF"/>
        <rFont val="DejaVu Sans"/>
        <family val="2"/>
      </rPr>
      <t xml:space="preserve">▌ 本公司提供  —  </t>
    </r>
    <r>
      <rPr>
        <b val="true"/>
        <sz val="10"/>
        <color rgb="FFFFFFFF"/>
        <rFont val="DejaVu Sans"/>
        <family val="2"/>
        <charset val="1"/>
      </rPr>
      <t xml:space="preserve">Our Delivery Confirmation</t>
    </r>
  </si>
  <si>
    <r>
      <rPr>
        <b val="true"/>
        <sz val="10"/>
        <color rgb="FFFFFFFF"/>
        <rFont val="DejaVu Sans"/>
        <family val="2"/>
      </rPr>
      <t xml:space="preserve">▌ 請客戶填寫  —  </t>
    </r>
    <r>
      <rPr>
        <b val="true"/>
        <sz val="10"/>
        <color rgb="FFFFFFFF"/>
        <rFont val="DejaVu Sans"/>
        <family val="2"/>
        <charset val="1"/>
      </rPr>
      <t xml:space="preserve">Customer Action Required</t>
    </r>
  </si>
  <si>
    <r>
      <rPr>
        <b val="true"/>
        <sz val="10"/>
        <color rgb="FFFFFFFF"/>
        <rFont val="DejaVu Sans"/>
        <family val="2"/>
      </rPr>
      <t xml:space="preserve">數量
</t>
    </r>
    <r>
      <rPr>
        <b val="true"/>
        <sz val="10"/>
        <color rgb="FFFFFFFF"/>
        <rFont val="DejaVu Sans"/>
        <family val="2"/>
        <charset val="1"/>
      </rPr>
      <t xml:space="preserve">(pcs)</t>
    </r>
  </si>
  <si>
    <t xml:space="preserve">您的要求
交期</t>
  </si>
  <si>
    <t xml:space="preserve">本公司
承諾交期</t>
  </si>
  <si>
    <t xml:space="preserve">交期
狀態</t>
  </si>
  <si>
    <r>
      <rPr>
        <b val="true"/>
        <sz val="10"/>
        <color rgb="FFFFFFFF"/>
        <rFont val="DejaVu Sans"/>
        <family val="2"/>
      </rPr>
      <t xml:space="preserve">提前</t>
    </r>
    <r>
      <rPr>
        <b val="true"/>
        <sz val="10"/>
        <color rgb="FFFFFFFF"/>
        <rFont val="DejaVu Sans"/>
        <family val="2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延後
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天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</si>
  <si>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希望 </t>
    </r>
    <r>
      <rPr>
        <b val="true"/>
        <sz val="10"/>
        <color rgb="FFFFFFFF"/>
        <rFont val="DejaVu Sans"/>
        <family val="2"/>
        <charset val="1"/>
      </rPr>
      <t xml:space="preserve">Pull-in
</t>
    </r>
    <r>
      <rPr>
        <b val="true"/>
        <sz val="10"/>
        <color rgb="FFFFFFFF"/>
        <rFont val="DejaVu Sans"/>
        <family val="2"/>
      </rPr>
      <t xml:space="preserve">交期（如需提前）</t>
    </r>
  </si>
  <si>
    <r>
      <rPr>
        <b val="true"/>
        <sz val="10"/>
        <color rgb="FFFFFFFF"/>
        <rFont val="Arial"/>
        <family val="2"/>
        <charset val="1"/>
      </rPr>
      <t xml:space="preserve">Pull-in </t>
    </r>
    <r>
      <rPr>
        <b val="true"/>
        <sz val="10"/>
        <color rgb="FFFFFFFF"/>
        <rFont val="DejaVu Sans"/>
        <family val="2"/>
      </rPr>
      <t xml:space="preserve">原因
</t>
    </r>
    <r>
      <rPr>
        <b val="true"/>
        <sz val="10"/>
        <color rgb="FFFFFFFF"/>
        <rFont val="Arial"/>
        <family val="2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說明</t>
    </r>
  </si>
  <si>
    <t xml:space="preserve">客戶備註</t>
  </si>
  <si>
    <t xml:space="preserve">—</t>
  </si>
  <si>
    <r>
      <rPr>
        <b val="true"/>
        <sz val="10"/>
        <color rgb="FFFFFFFF"/>
        <rFont val="DejaVu Sans"/>
        <family val="2"/>
      </rPr>
      <t xml:space="preserve">狀態說明 </t>
    </r>
    <r>
      <rPr>
        <b val="true"/>
        <sz val="10"/>
        <color rgb="FFFFFFFF"/>
        <rFont val="DejaVu Sans"/>
        <family val="2"/>
        <charset val="1"/>
      </rPr>
      <t xml:space="preserve">/ Status Key</t>
    </r>
  </si>
  <si>
    <t xml:space="preserve">✅ 準時交貨</t>
  </si>
  <si>
    <r>
      <rPr>
        <sz val="10"/>
        <color rgb="FF404040"/>
        <rFont val="DejaVu Sans"/>
        <family val="2"/>
      </rPr>
      <t xml:space="preserve">本公司承諾交期 ≤ 您的要求交期，無需 </t>
    </r>
    <r>
      <rPr>
        <sz val="10"/>
        <color rgb="FF404040"/>
        <rFont val="DejaVu Sans"/>
        <family val="2"/>
        <charset val="1"/>
      </rPr>
      <t xml:space="preserve">Pull-in</t>
    </r>
  </si>
  <si>
    <t xml:space="preserve">⚠️ 輕微延誤</t>
  </si>
  <si>
    <r>
      <rPr>
        <sz val="10"/>
        <color rgb="FF404040"/>
        <rFont val="DejaVu Sans"/>
        <family val="2"/>
      </rPr>
      <t xml:space="preserve">延誤 </t>
    </r>
    <r>
      <rPr>
        <sz val="10"/>
        <color rgb="FF404040"/>
        <rFont val="DejaVu Sans"/>
        <family val="2"/>
        <charset val="1"/>
      </rPr>
      <t xml:space="preserve">1</t>
    </r>
    <r>
      <rPr>
        <sz val="10"/>
        <color rgb="FF404040"/>
        <rFont val="DejaVu Sans"/>
        <family val="2"/>
      </rPr>
      <t xml:space="preserve">～</t>
    </r>
    <r>
      <rPr>
        <sz val="10"/>
        <color rgb="FF404040"/>
        <rFont val="DejaVu Sans"/>
        <family val="2"/>
        <charset val="1"/>
      </rPr>
      <t xml:space="preserve">7 </t>
    </r>
    <r>
      <rPr>
        <sz val="10"/>
        <color rgb="FF404040"/>
        <rFont val="DejaVu Sans"/>
        <family val="2"/>
      </rPr>
      <t xml:space="preserve">天，建議確認是否可接受，必要時申請 </t>
    </r>
    <r>
      <rPr>
        <sz val="10"/>
        <color rgb="FF404040"/>
        <rFont val="DejaVu Sans"/>
        <family val="2"/>
        <charset val="1"/>
      </rPr>
      <t xml:space="preserve">Pull-in</t>
    </r>
  </si>
  <si>
    <r>
      <rPr>
        <b val="true"/>
        <sz val="10"/>
        <color rgb="FFB71C1C"/>
        <rFont val="DejaVu Sans"/>
        <family val="2"/>
      </rPr>
      <t xml:space="preserve">🔴 建議</t>
    </r>
    <r>
      <rPr>
        <b val="true"/>
        <sz val="10"/>
        <color rgb="FFB71C1C"/>
        <rFont val="DejaVu Sans"/>
        <family val="2"/>
        <charset val="1"/>
      </rPr>
      <t xml:space="preserve">Pull-in</t>
    </r>
  </si>
  <si>
    <r>
      <rPr>
        <sz val="10"/>
        <color rgb="FF404040"/>
        <rFont val="DejaVu Sans"/>
        <family val="2"/>
      </rPr>
      <t xml:space="preserve">延誤超過 </t>
    </r>
    <r>
      <rPr>
        <sz val="10"/>
        <color rgb="FF404040"/>
        <rFont val="DejaVu Sans"/>
        <family val="2"/>
        <charset val="1"/>
      </rPr>
      <t xml:space="preserve">7 </t>
    </r>
    <r>
      <rPr>
        <sz val="10"/>
        <color rgb="FF404040"/>
        <rFont val="DejaVu Sans"/>
        <family val="2"/>
      </rPr>
      <t xml:space="preserve">天，強烈建議填寫右側 </t>
    </r>
    <r>
      <rPr>
        <sz val="10"/>
        <color rgb="FF404040"/>
        <rFont val="DejaVu Sans"/>
        <family val="2"/>
        <charset val="1"/>
      </rPr>
      <t xml:space="preserve">Pull-in </t>
    </r>
    <r>
      <rPr>
        <sz val="10"/>
        <color rgb="FF404040"/>
        <rFont val="DejaVu Sans"/>
        <family val="2"/>
      </rPr>
      <t xml:space="preserve">申請欄，我方將優先處理</t>
    </r>
  </si>
  <si>
    <t xml:space="preserve">🔵 待確認</t>
  </si>
  <si>
    <t xml:space="preserve">交期尚待原廠確認，本公司將盡快更新</t>
  </si>
  <si>
    <r>
      <rPr>
        <i val="true"/>
        <sz val="10"/>
        <color rgb="FF737373"/>
        <rFont val="DejaVu Sans"/>
        <family val="2"/>
      </rPr>
      <t xml:space="preserve">請填妥 </t>
    </r>
    <r>
      <rPr>
        <i val="true"/>
        <sz val="10"/>
        <color rgb="FF737373"/>
        <rFont val="DejaVu Sans"/>
        <family val="2"/>
        <charset val="1"/>
      </rPr>
      <t xml:space="preserve">Pull-in </t>
    </r>
    <r>
      <rPr>
        <i val="true"/>
        <sz val="10"/>
        <color rgb="FF737373"/>
        <rFont val="DejaVu Sans"/>
        <family val="2"/>
      </rPr>
      <t xml:space="preserve">申請後回傳給您的業務窗口，我方將在 </t>
    </r>
    <r>
      <rPr>
        <i val="true"/>
        <sz val="10"/>
        <color rgb="FF737373"/>
        <rFont val="DejaVu Sans"/>
        <family val="2"/>
        <charset val="1"/>
      </rPr>
      <t xml:space="preserve">14 </t>
    </r>
    <r>
      <rPr>
        <i val="true"/>
        <sz val="10"/>
        <color rgb="FF737373"/>
        <rFont val="DejaVu Sans"/>
        <family val="2"/>
      </rPr>
      <t xml:space="preserve">個工作天內確認並回覆是否可行。感謝您的配合！</t>
    </r>
  </si>
  <si>
    <t xml:space="preserve">📞 催貨記錄表</t>
  </si>
  <si>
    <t xml:space="preserve">每次催貨後請立即填寫，作為與原廠溝通的書面依據，並更新主工作表交期</t>
  </si>
  <si>
    <t xml:space="preserve">編號</t>
  </si>
  <si>
    <r>
      <rPr>
        <b val="true"/>
        <sz val="11"/>
        <color rgb="FFFFFFFF"/>
        <rFont val="DejaVu Sans"/>
        <family val="2"/>
      </rPr>
      <t xml:space="preserve">原</t>
    </r>
    <r>
      <rPr>
        <b val="true"/>
        <sz val="11"/>
        <color rgb="FFFFFFFF"/>
        <rFont val="DejaVu Sans"/>
        <family val="2"/>
        <charset val="1"/>
      </rPr>
      <t xml:space="preserve">PO</t>
    </r>
    <r>
      <rPr>
        <b val="true"/>
        <sz val="11"/>
        <color rgb="FFFFFFFF"/>
        <rFont val="DejaVu Sans"/>
        <family val="2"/>
      </rPr>
      <t xml:space="preserve">訂單編號</t>
    </r>
  </si>
  <si>
    <t xml:space="preserve">催貨日期</t>
  </si>
  <si>
    <t xml:space="preserve">催貨方式</t>
  </si>
  <si>
    <t xml:space="preserve">催貨內容摘要</t>
  </si>
  <si>
    <t xml:space="preserve">原廠回覆
更新交期</t>
  </si>
  <si>
    <t xml:space="preserve">交期是否
符合客戶要求</t>
  </si>
  <si>
    <t xml:space="preserve">後續行動</t>
  </si>
  <si>
    <t xml:space="preserve">跟進人員</t>
  </si>
  <si>
    <t xml:space="preserve">CPN-002</t>
  </si>
  <si>
    <t xml:space="preserve">STM32F103C8T6</t>
  </si>
  <si>
    <t xml:space="preserve">PO-2026-0415</t>
  </si>
  <si>
    <t xml:space="preserve">2026/04/08</t>
  </si>
  <si>
    <t xml:space="preserve">Email</t>
  </si>
  <si>
    <r>
      <rPr>
        <sz val="10"/>
        <color rgb="FF595959"/>
        <rFont val="DejaVu Sans"/>
        <family val="2"/>
      </rPr>
      <t xml:space="preserve">確認</t>
    </r>
    <r>
      <rPr>
        <sz val="10"/>
        <color rgb="FF595959"/>
        <rFont val="DejaVu Sans"/>
        <family val="2"/>
        <charset val="1"/>
      </rPr>
      <t xml:space="preserve">5/30</t>
    </r>
    <r>
      <rPr>
        <sz val="10"/>
        <color rgb="FF595959"/>
        <rFont val="DejaVu Sans"/>
        <family val="2"/>
      </rPr>
      <t xml:space="preserve">交期是否能提前至</t>
    </r>
    <r>
      <rPr>
        <sz val="10"/>
        <color rgb="FF595959"/>
        <rFont val="DejaVu Sans"/>
        <family val="2"/>
        <charset val="1"/>
      </rPr>
      <t xml:space="preserve">5/20</t>
    </r>
  </si>
  <si>
    <r>
      <rPr>
        <sz val="10"/>
        <color rgb="FF595959"/>
        <rFont val="DejaVu Sans"/>
        <family val="2"/>
      </rPr>
      <t xml:space="preserve">原廠回覆：最快</t>
    </r>
    <r>
      <rPr>
        <sz val="10"/>
        <color rgb="FF595959"/>
        <rFont val="DejaVu Sans"/>
        <family val="2"/>
        <charset val="1"/>
      </rPr>
      <t xml:space="preserve">5/25</t>
    </r>
  </si>
  <si>
    <r>
      <rPr>
        <sz val="10"/>
        <color rgb="FF595959"/>
        <rFont val="DejaVu Sans"/>
        <family val="2"/>
      </rPr>
      <t xml:space="preserve">否，仍落後</t>
    </r>
    <r>
      <rPr>
        <sz val="10"/>
        <color rgb="FF595959"/>
        <rFont val="DejaVu Sans"/>
        <family val="2"/>
        <charset val="1"/>
      </rPr>
      <t xml:space="preserve">5</t>
    </r>
    <r>
      <rPr>
        <sz val="10"/>
        <color rgb="FF595959"/>
        <rFont val="DejaVu Sans"/>
        <family val="2"/>
      </rPr>
      <t xml:space="preserve">天</t>
    </r>
  </si>
  <si>
    <t xml:space="preserve">持續施壓，下週再催</t>
  </si>
  <si>
    <t xml:space="preserve">Tricia</t>
  </si>
  <si>
    <t xml:space="preserve">CPN-005</t>
  </si>
  <si>
    <t xml:space="preserve">ATMEGA328P-PU</t>
  </si>
  <si>
    <t xml:space="preserve">PO-2026-0416</t>
  </si>
  <si>
    <t xml:space="preserve">2026/04/10</t>
  </si>
  <si>
    <r>
      <rPr>
        <sz val="10"/>
        <color rgb="FF595959"/>
        <rFont val="DejaVu Sans"/>
        <family val="2"/>
      </rPr>
      <t xml:space="preserve">電話</t>
    </r>
    <r>
      <rPr>
        <sz val="10"/>
        <color rgb="FF595959"/>
        <rFont val="DejaVu Sans"/>
        <family val="2"/>
        <charset val="1"/>
      </rPr>
      <t xml:space="preserve">+Email</t>
    </r>
  </si>
  <si>
    <r>
      <rPr>
        <sz val="10"/>
        <color rgb="FF595959"/>
        <rFont val="DejaVu Sans"/>
        <family val="2"/>
      </rPr>
      <t xml:space="preserve">緊急催貨，客戶</t>
    </r>
    <r>
      <rPr>
        <sz val="10"/>
        <color rgb="FF595959"/>
        <rFont val="DejaVu Sans"/>
        <family val="2"/>
        <charset val="1"/>
      </rPr>
      <t xml:space="preserve">5/15</t>
    </r>
    <r>
      <rPr>
        <sz val="10"/>
        <color rgb="FF595959"/>
        <rFont val="DejaVu Sans"/>
        <family val="2"/>
      </rPr>
      <t xml:space="preserve">要求不能更動</t>
    </r>
  </si>
  <si>
    <r>
      <rPr>
        <sz val="10"/>
        <color rgb="FF595959"/>
        <rFont val="DejaVu Sans"/>
        <family val="2"/>
      </rPr>
      <t xml:space="preserve">原廠：缺料，</t>
    </r>
    <r>
      <rPr>
        <sz val="10"/>
        <color rgb="FF595959"/>
        <rFont val="DejaVu Sans"/>
        <family val="2"/>
        <charset val="1"/>
      </rPr>
      <t xml:space="preserve">6/5</t>
    </r>
    <r>
      <rPr>
        <sz val="10"/>
        <color rgb="FF595959"/>
        <rFont val="DejaVu Sans"/>
        <family val="2"/>
      </rPr>
      <t xml:space="preserve">最快</t>
    </r>
  </si>
  <si>
    <r>
      <rPr>
        <sz val="10"/>
        <color rgb="FF595959"/>
        <rFont val="DejaVu Sans"/>
        <family val="2"/>
      </rPr>
      <t xml:space="preserve">否，延誤</t>
    </r>
    <r>
      <rPr>
        <sz val="10"/>
        <color rgb="FF595959"/>
        <rFont val="DejaVu Sans"/>
        <family val="2"/>
        <charset val="1"/>
      </rPr>
      <t xml:space="preserve">21</t>
    </r>
    <r>
      <rPr>
        <sz val="10"/>
        <color rgb="FF595959"/>
        <rFont val="DejaVu Sans"/>
        <family val="2"/>
      </rPr>
      <t xml:space="preserve">天</t>
    </r>
  </si>
  <si>
    <r>
      <rPr>
        <sz val="10"/>
        <color rgb="FF595959"/>
        <rFont val="DejaVu Sans"/>
        <family val="2"/>
      </rPr>
      <t xml:space="preserve">尋找替代料 </t>
    </r>
    <r>
      <rPr>
        <sz val="10"/>
        <color rgb="FF595959"/>
        <rFont val="DejaVu Sans"/>
        <family val="2"/>
        <charset val="1"/>
      </rPr>
      <t xml:space="preserve">ATMEGA328PB-AU</t>
    </r>
  </si>
  <si>
    <r>
      <rPr>
        <sz val="10"/>
        <color rgb="FF595959"/>
        <rFont val="DejaVu Sans"/>
        <family val="2"/>
      </rPr>
      <t xml:space="preserve">已詢問</t>
    </r>
    <r>
      <rPr>
        <sz val="10"/>
        <color rgb="FF595959"/>
        <rFont val="DejaVu Sans"/>
        <family val="2"/>
        <charset val="1"/>
      </rPr>
      <t xml:space="preserve">3</t>
    </r>
    <r>
      <rPr>
        <sz val="10"/>
        <color rgb="FF595959"/>
        <rFont val="DejaVu Sans"/>
        <family val="2"/>
      </rPr>
      <t xml:space="preserve">家現貨</t>
    </r>
  </si>
  <si>
    <t xml:space="preserve">📋 電子零件訂單交期追蹤表 — 使用說明</t>
  </si>
  <si>
    <t xml:space="preserve">【工作表說明】</t>
  </si>
  <si>
    <t xml:space="preserve">① 訂單交期追蹤</t>
  </si>
  <si>
    <t xml:space="preserve">主追蹤表，每筆訂單一列，填入料號、交期、狀態即可</t>
  </si>
  <si>
    <t xml:space="preserve">② 催貨記錄</t>
  </si>
  <si>
    <t xml:space="preserve">每次聯絡原廠催貨後的書面記錄，保留溝通依據</t>
  </si>
  <si>
    <t xml:space="preserve">③ 使用說明</t>
  </si>
  <si>
    <t xml:space="preserve">本說明頁</t>
  </si>
  <si>
    <t xml:space="preserve">【欄位填寫說明】</t>
  </si>
  <si>
    <t xml:space="preserve">客戶料號</t>
  </si>
  <si>
    <r>
      <rPr>
        <sz val="10"/>
        <color rgb="FF595959"/>
        <rFont val="DejaVu Sans"/>
        <family val="2"/>
      </rPr>
      <t xml:space="preserve">客戶自己的料號（</t>
    </r>
    <r>
      <rPr>
        <sz val="10"/>
        <color rgb="FF595959"/>
        <rFont val="DejaVu Sans"/>
        <family val="2"/>
        <charset val="1"/>
      </rPr>
      <t xml:space="preserve">Internal P/N</t>
    </r>
    <r>
      <rPr>
        <sz val="10"/>
        <color rgb="FF595959"/>
        <rFont val="DejaVu Sans"/>
        <family val="2"/>
      </rPr>
      <t xml:space="preserve">），方便對帳</t>
    </r>
  </si>
  <si>
    <t xml:space="preserve">製造商料號</t>
  </si>
  <si>
    <t xml:space="preserve">原廠正式型號，用於向原廠查詢庫存與交期</t>
  </si>
  <si>
    <r>
      <rPr>
        <sz val="10"/>
        <color rgb="FF595959"/>
        <rFont val="DejaVu Sans"/>
        <family val="2"/>
      </rPr>
      <t xml:space="preserve">客戶要求到貨日期，格式 </t>
    </r>
    <r>
      <rPr>
        <sz val="10"/>
        <color rgb="FF595959"/>
        <rFont val="DejaVu Sans"/>
        <family val="2"/>
        <charset val="1"/>
      </rPr>
      <t xml:space="preserve">YYYY/MM/DD</t>
    </r>
  </si>
  <si>
    <r>
      <rPr>
        <sz val="10"/>
        <color rgb="FF595959"/>
        <rFont val="DejaVu Sans"/>
        <family val="2"/>
      </rPr>
      <t xml:space="preserve">原廠或我方供應商承諾的出貨</t>
    </r>
    <r>
      <rPr>
        <sz val="10"/>
        <color rgb="FF595959"/>
        <rFont val="DejaVu Sans"/>
        <family val="2"/>
        <charset val="1"/>
      </rPr>
      <t xml:space="preserve">/</t>
    </r>
    <r>
      <rPr>
        <sz val="10"/>
        <color rgb="FF595959"/>
        <rFont val="DejaVu Sans"/>
        <family val="2"/>
      </rPr>
      <t xml:space="preserve">到貨日期</t>
    </r>
  </si>
  <si>
    <r>
      <rPr>
        <b val="true"/>
        <sz val="10"/>
        <color rgb="FF595959"/>
        <rFont val="DejaVu Sans"/>
        <family val="2"/>
      </rPr>
      <t xml:space="preserve">交期落差</t>
    </r>
    <r>
      <rPr>
        <b val="true"/>
        <sz val="10"/>
        <color rgb="FF595959"/>
        <rFont val="DejaVu Sans"/>
        <family val="2"/>
        <charset val="1"/>
      </rPr>
      <t xml:space="preserve">(</t>
    </r>
    <r>
      <rPr>
        <b val="true"/>
        <sz val="10"/>
        <color rgb="FF595959"/>
        <rFont val="DejaVu Sans"/>
        <family val="2"/>
      </rPr>
      <t xml:space="preserve">天</t>
    </r>
    <r>
      <rPr>
        <b val="true"/>
        <sz val="10"/>
        <color rgb="FF595959"/>
        <rFont val="DejaVu Sans"/>
        <family val="2"/>
        <charset val="1"/>
      </rPr>
      <t xml:space="preserve">)</t>
    </r>
  </si>
  <si>
    <t xml:space="preserve">自動計算：原廠承諾 − 客戶要求，負數代表原廠落後</t>
  </si>
  <si>
    <t xml:space="preserve">訂單狀態</t>
  </si>
  <si>
    <r>
      <rPr>
        <sz val="10"/>
        <color rgb="FF595959"/>
        <rFont val="DejaVu Sans"/>
        <family val="2"/>
      </rPr>
      <t xml:space="preserve">從下拉選單選擇（</t>
    </r>
    <r>
      <rPr>
        <sz val="10"/>
        <color rgb="FF595959"/>
        <rFont val="DejaVu Sans"/>
        <family val="2"/>
        <charset val="1"/>
      </rPr>
      <t xml:space="preserve">8</t>
    </r>
    <r>
      <rPr>
        <sz val="10"/>
        <color rgb="FF595959"/>
        <rFont val="DejaVu Sans"/>
        <family val="2"/>
      </rPr>
      <t xml:space="preserve">種狀態）</t>
    </r>
  </si>
  <si>
    <t xml:space="preserve">優先等級</t>
  </si>
  <si>
    <r>
      <rPr>
        <sz val="10"/>
        <color rgb="FF595959"/>
        <rFont val="DejaVu Sans"/>
        <family val="2"/>
      </rPr>
      <t xml:space="preserve">高</t>
    </r>
    <r>
      <rPr>
        <sz val="10"/>
        <color rgb="FF595959"/>
        <rFont val="DejaVu Sans"/>
        <family val="2"/>
        <charset val="1"/>
      </rPr>
      <t xml:space="preserve">/</t>
    </r>
    <r>
      <rPr>
        <sz val="10"/>
        <color rgb="FF595959"/>
        <rFont val="DejaVu Sans"/>
        <family val="2"/>
      </rPr>
      <t xml:space="preserve">中</t>
    </r>
    <r>
      <rPr>
        <sz val="10"/>
        <color rgb="FF595959"/>
        <rFont val="DejaVu Sans"/>
        <family val="2"/>
        <charset val="1"/>
      </rPr>
      <t xml:space="preserve">/</t>
    </r>
    <r>
      <rPr>
        <sz val="10"/>
        <color rgb="FF595959"/>
        <rFont val="DejaVu Sans"/>
        <family val="2"/>
      </rPr>
      <t xml:space="preserve">低，依客戶緊急程度設定</t>
    </r>
  </si>
  <si>
    <t xml:space="preserve">【狀態說明與顏色】</t>
  </si>
  <si>
    <t xml:space="preserve">✅ 已交貨（綠色）</t>
  </si>
  <si>
    <t xml:space="preserve">貨品已送達客戶，訂單完成</t>
  </si>
  <si>
    <t xml:space="preserve">🔵 已下單（藍色）</t>
  </si>
  <si>
    <t xml:space="preserve">已向原廠下單，等待原廠出貨</t>
  </si>
  <si>
    <t xml:space="preserve">⚠️ 延誤風險（黃色）</t>
  </si>
  <si>
    <t xml:space="preserve">交期有延誤可能，需持續關注</t>
  </si>
  <si>
    <t xml:space="preserve">🔴 已延誤（紅色）</t>
  </si>
  <si>
    <t xml:space="preserve">確認落後客戶要求交期，需緊急處理</t>
  </si>
  <si>
    <t xml:space="preserve">⬜ 待確認（灰色）</t>
  </si>
  <si>
    <t xml:space="preserve">訂單尚未確認，等待客戶或原廠回覆</t>
  </si>
  <si>
    <t xml:space="preserve">📦 備料中</t>
  </si>
  <si>
    <t xml:space="preserve">已備好庫存，等待出貨指令</t>
  </si>
  <si>
    <t xml:space="preserve">🚚 已出貨</t>
  </si>
  <si>
    <t xml:space="preserve">已出貨，等待客戶確認到貨</t>
  </si>
  <si>
    <t xml:space="preserve">❌ 已取消</t>
  </si>
  <si>
    <t xml:space="preserve">訂單取消</t>
  </si>
  <si>
    <t xml:space="preserve">【催貨建議流程】</t>
  </si>
  <si>
    <t xml:space="preserve">Step 1</t>
  </si>
  <si>
    <t xml:space="preserve">確認原廠承諾交期是否落後客戶要求（看「交期落差」欄）</t>
  </si>
  <si>
    <t xml:space="preserve">Step 2</t>
  </si>
  <si>
    <r>
      <rPr>
        <sz val="10"/>
        <color rgb="FF595959"/>
        <rFont val="DejaVu Sans"/>
        <family val="2"/>
      </rPr>
      <t xml:space="preserve">落後 </t>
    </r>
    <r>
      <rPr>
        <sz val="10"/>
        <color rgb="FF595959"/>
        <rFont val="DejaVu Sans"/>
        <family val="2"/>
        <charset val="1"/>
      </rPr>
      <t xml:space="preserve">&gt; 0</t>
    </r>
    <r>
      <rPr>
        <sz val="10"/>
        <color rgb="FF595959"/>
        <rFont val="DejaVu Sans"/>
        <family val="2"/>
      </rPr>
      <t xml:space="preserve">天 → 立即催貨，並填寫催貨記錄表</t>
    </r>
  </si>
  <si>
    <t xml:space="preserve">Step 3</t>
  </si>
  <si>
    <t xml:space="preserve">取得原廠最新回覆後，更新主表「原廠承諾交期」與「最新進度說明」</t>
  </si>
  <si>
    <t xml:space="preserve">Step 4</t>
  </si>
  <si>
    <t xml:space="preserve">若無法改善，提前告知客戶並討論替代方案</t>
  </si>
  <si>
    <r>
      <rPr>
        <b val="true"/>
        <sz val="11"/>
        <color rgb="FFFFFFFF"/>
        <rFont val="DejaVu Sans"/>
        <family val="2"/>
      </rPr>
      <t xml:space="preserve">【客戶</t>
    </r>
    <r>
      <rPr>
        <b val="true"/>
        <sz val="11"/>
        <color rgb="FFFFFFFF"/>
        <rFont val="DejaVu Sans"/>
        <family val="2"/>
        <charset val="1"/>
      </rPr>
      <t xml:space="preserve">FCST</t>
    </r>
    <r>
      <rPr>
        <b val="true"/>
        <sz val="11"/>
        <color rgb="FFFFFFFF"/>
        <rFont val="DejaVu Sans"/>
        <family val="2"/>
      </rPr>
      <t xml:space="preserve">填寫說明】</t>
    </r>
  </si>
  <si>
    <r>
      <rPr>
        <b val="true"/>
        <sz val="10"/>
        <color rgb="FF595959"/>
        <rFont val="Arial"/>
        <family val="2"/>
        <charset val="1"/>
      </rPr>
      <t xml:space="preserve">FCST </t>
    </r>
    <r>
      <rPr>
        <b val="true"/>
        <sz val="10"/>
        <color rgb="FF595959"/>
        <rFont val="DejaVu Sans"/>
        <family val="2"/>
      </rPr>
      <t xml:space="preserve">欄位說明</t>
    </r>
  </si>
  <si>
    <r>
      <rPr>
        <sz val="10"/>
        <color rgb="FF595959"/>
        <rFont val="DejaVu Sans"/>
        <family val="2"/>
      </rPr>
      <t xml:space="preserve">主追蹤表右側新增</t>
    </r>
    <r>
      <rPr>
        <sz val="10"/>
        <color rgb="FF595959"/>
        <rFont val="DejaVu Sans"/>
        <family val="2"/>
        <charset val="1"/>
      </rPr>
      <t xml:space="preserve">6</t>
    </r>
    <r>
      <rPr>
        <sz val="10"/>
        <color rgb="FF595959"/>
        <rFont val="DejaVu Sans"/>
        <family val="2"/>
      </rPr>
      <t xml:space="preserve">個月預測欄（當月起算），由客戶手動填入每月預計用量（</t>
    </r>
    <r>
      <rPr>
        <sz val="10"/>
        <color rgb="FF595959"/>
        <rFont val="DejaVu Sans"/>
        <family val="2"/>
        <charset val="1"/>
      </rPr>
      <t xml:space="preserve">pcs</t>
    </r>
    <r>
      <rPr>
        <sz val="10"/>
        <color rgb="FF595959"/>
        <rFont val="DejaVu Sans"/>
        <family val="2"/>
      </rPr>
      <t xml:space="preserve">）</t>
    </r>
  </si>
  <si>
    <r>
      <rPr>
        <b val="true"/>
        <sz val="10"/>
        <color rgb="FF595959"/>
        <rFont val="Arial"/>
        <family val="2"/>
        <charset val="1"/>
      </rPr>
      <t xml:space="preserve">FCST </t>
    </r>
    <r>
      <rPr>
        <b val="true"/>
        <sz val="10"/>
        <color rgb="FF595959"/>
        <rFont val="DejaVu Sans"/>
        <family val="2"/>
      </rPr>
      <t xml:space="preserve">合計</t>
    </r>
  </si>
  <si>
    <t xml:space="preserve">自動加總六個月數量，方便評估總備貨需求</t>
  </si>
  <si>
    <r>
      <rPr>
        <b val="true"/>
        <sz val="10"/>
        <color rgb="FF595959"/>
        <rFont val="DejaVu Sans"/>
        <family val="2"/>
      </rPr>
      <t xml:space="preserve">月均 </t>
    </r>
    <r>
      <rPr>
        <b val="true"/>
        <sz val="10"/>
        <color rgb="FF595959"/>
        <rFont val="DejaVu Sans"/>
        <family val="2"/>
        <charset val="1"/>
      </rPr>
      <t xml:space="preserve">FCST</t>
    </r>
  </si>
  <si>
    <t xml:space="preserve">自動計算六個月平均，協助安全庫存規劃</t>
  </si>
  <si>
    <t xml:space="preserve">填寫方式</t>
  </si>
  <si>
    <r>
      <rPr>
        <sz val="10"/>
        <color rgb="FF595959"/>
        <rFont val="DejaVu Sans"/>
        <family val="2"/>
      </rPr>
      <t xml:space="preserve">請將此表寄給客戶，請對方在 </t>
    </r>
    <r>
      <rPr>
        <sz val="10"/>
        <color rgb="FF595959"/>
        <rFont val="DejaVu Sans"/>
        <family val="2"/>
        <charset val="1"/>
      </rPr>
      <t xml:space="preserve">S</t>
    </r>
    <r>
      <rPr>
        <sz val="10"/>
        <color rgb="FF595959"/>
        <rFont val="DejaVu Sans"/>
        <family val="2"/>
      </rPr>
      <t xml:space="preserve">～</t>
    </r>
    <r>
      <rPr>
        <sz val="10"/>
        <color rgb="FF595959"/>
        <rFont val="DejaVu Sans"/>
        <family val="2"/>
        <charset val="1"/>
      </rPr>
      <t xml:space="preserve">X </t>
    </r>
    <r>
      <rPr>
        <sz val="10"/>
        <color rgb="FF595959"/>
        <rFont val="DejaVu Sans"/>
        <family val="2"/>
      </rPr>
      <t xml:space="preserve">欄填入各月預測量後回傳，數字限整數</t>
    </r>
  </si>
  <si>
    <t xml:space="preserve">更新頻率建議</t>
  </si>
  <si>
    <t xml:space="preserve">建議每月初更新一次，滾動往後推移六個月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</si>
</sst>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yyyy/mm/dd"/>
    <numFmt numFmtId="167" formatCode="0"/>
    <numFmt numFmtId="168" formatCode="#,##0"/>
    <numFmt numFmtId="169" formatCode="\+0;\-0;\-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36"/>
    </font>
    <font>
      <b val="true"/>
      <sz val="16"/>
      <color rgb="FFFFFFFF"/>
      <name val="DejaVu Sans"/>
      <family val="2"/>
    </font>
    <font>
      <i val="true"/>
      <sz val="10"/>
      <color rgb="FFFFFFFF"/>
      <name val="DejaVu Sans"/>
      <family val="2"/>
    </font>
    <font>
      <i val="true"/>
      <sz val="10"/>
      <color rgb="FFFFFFFF"/>
      <name val="DejaVu Sans"/>
      <family val="2"/>
      <charset val="1"/>
    </font>
    <font>
      <i val="true"/>
      <sz val="9"/>
      <color rgb="FFFFFFFF"/>
      <name val="DejaVu Sans"/>
      <family val="2"/>
    </font>
    <font>
      <i val="true"/>
      <sz val="9"/>
      <color rgb="FFFFFFFF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11"/>
      <color rgb="FFFFFFFF"/>
      <name val="Arial"/>
      <family val="2"/>
      <charset val="1"/>
    </font>
    <font>
      <sz val="10"/>
      <color rgb="FF59595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1F6B75"/>
      <name val="Arial"/>
      <family val="2"/>
      <charset val="1"/>
    </font>
    <font>
      <sz val="10"/>
      <color rgb="FF1F6B75"/>
      <name val="Arial"/>
      <family val="2"/>
      <charset val="1"/>
    </font>
    <font>
      <sz val="10"/>
      <color rgb="FF595959"/>
      <name val="DejaVu Sans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b val="true"/>
      <sz val="12"/>
      <color rgb="FF2E75B6"/>
      <name val="Arial"/>
      <family val="2"/>
      <charset val="1"/>
    </font>
    <font>
      <b val="true"/>
      <sz val="11"/>
      <color rgb="FF1F6B75"/>
      <name val="Arial"/>
      <family val="2"/>
      <charset val="1"/>
    </font>
    <font>
      <b val="true"/>
      <sz val="18"/>
      <color rgb="FFFFFFFF"/>
      <name val="DejaVu Sans"/>
      <family val="2"/>
    </font>
    <font>
      <b val="true"/>
      <sz val="18"/>
      <color rgb="FFFFFFFF"/>
      <name val="DejaVu Sans"/>
      <family val="2"/>
      <charset val="1"/>
    </font>
    <font>
      <sz val="10"/>
      <color rgb="FFFFFFFF"/>
      <name val="DejaVu Sans"/>
      <family val="2"/>
    </font>
    <font>
      <sz val="10"/>
      <color rgb="FFFFFFFF"/>
      <name val="DejaVu Sans"/>
      <family val="2"/>
      <charset val="1"/>
    </font>
    <font>
      <sz val="10"/>
      <color rgb="FF404040"/>
      <name val="DejaVu Sans"/>
      <family val="2"/>
    </font>
    <font>
      <sz val="10"/>
      <color rgb="FF404040"/>
      <name val="DejaVu Sans"/>
      <family val="2"/>
      <charset val="1"/>
    </font>
    <font>
      <b val="true"/>
      <sz val="12"/>
      <color rgb="FF145F68"/>
      <name val="Arial"/>
      <family val="2"/>
      <charset val="1"/>
    </font>
    <font>
      <b val="true"/>
      <sz val="11"/>
      <color rgb="FF145F68"/>
      <name val="Arial"/>
      <family val="2"/>
      <charset val="1"/>
    </font>
    <font>
      <sz val="10"/>
      <color rgb="FF40404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i val="true"/>
      <sz val="10"/>
      <color rgb="FF737373"/>
      <name val="DejaVu Sans"/>
      <family val="2"/>
    </font>
    <font>
      <i val="true"/>
      <sz val="10"/>
      <color rgb="FF737373"/>
      <name val="DejaVu Sans"/>
      <family val="2"/>
      <charset val="1"/>
    </font>
    <font>
      <b val="true"/>
      <sz val="20"/>
      <color rgb="FFFFFFFF"/>
      <name val="DejaVu Sans"/>
      <family val="2"/>
    </font>
    <font>
      <b val="true"/>
      <sz val="20"/>
      <color rgb="FFFFFFFF"/>
      <name val="DejaVu Sans"/>
      <family val="2"/>
      <charset val="1"/>
    </font>
    <font>
      <sz val="10"/>
      <color rgb="FF404040"/>
      <name val="Calibri"/>
      <family val="2"/>
      <charset val="1"/>
    </font>
    <font>
      <b val="true"/>
      <sz val="10"/>
      <color rgb="FF0D47A1"/>
      <name val="DejaVu Sans"/>
      <family val="2"/>
      <charset val="1"/>
    </font>
    <font>
      <b val="true"/>
      <sz val="10"/>
      <name val="DejaVu Sans"/>
      <family val="2"/>
    </font>
    <font>
      <b val="true"/>
      <sz val="11"/>
      <color rgb="FFE65100"/>
      <name val="Arial"/>
      <family val="2"/>
      <charset val="1"/>
    </font>
    <font>
      <sz val="10"/>
      <color rgb="FFE65100"/>
      <name val="Arial"/>
      <family val="2"/>
      <charset val="1"/>
    </font>
    <font>
      <sz val="12"/>
      <color rgb="FF404040"/>
      <name val="Calibri"/>
      <family val="2"/>
      <charset val="1"/>
    </font>
    <font>
      <b val="true"/>
      <sz val="11"/>
      <name val="Arial"/>
      <family val="2"/>
      <charset val="1"/>
    </font>
    <font>
      <sz val="12"/>
      <color rgb="FF737373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1B5E20"/>
      <name val="DejaVu Sans"/>
      <family val="2"/>
    </font>
    <font>
      <b val="true"/>
      <sz val="10"/>
      <color rgb="FF5D4037"/>
      <name val="DejaVu Sans"/>
      <family val="2"/>
    </font>
    <font>
      <b val="true"/>
      <sz val="10"/>
      <color rgb="FFB71C1C"/>
      <name val="DejaVu Sans"/>
      <family val="2"/>
    </font>
    <font>
      <b val="true"/>
      <sz val="10"/>
      <color rgb="FFB71C1C"/>
      <name val="DejaVu Sans"/>
      <family val="2"/>
      <charset val="1"/>
    </font>
    <font>
      <b val="true"/>
      <sz val="10"/>
      <color rgb="FF0D47A1"/>
      <name val="DejaVu Sans"/>
      <family val="2"/>
    </font>
    <font>
      <b val="true"/>
      <sz val="15"/>
      <color rgb="FFFFFFFF"/>
      <name val="DejaVu Sans"/>
      <family val="2"/>
    </font>
    <font>
      <sz val="10"/>
      <color rgb="FF595959"/>
      <name val="DejaVu Sans"/>
      <family val="2"/>
    </font>
    <font>
      <b val="true"/>
      <sz val="14"/>
      <color rgb="FFFFFFFF"/>
      <name val="DejaVu Sans"/>
      <family val="2"/>
    </font>
    <font>
      <b val="true"/>
      <sz val="10"/>
      <color rgb="FF595959"/>
      <name val="DejaVu Sans"/>
      <family val="2"/>
    </font>
    <font>
      <b val="true"/>
      <sz val="10"/>
      <color rgb="FF595959"/>
      <name val="DejaVu Sans"/>
      <family val="2"/>
      <charset val="1"/>
    </font>
    <font>
      <b val="true"/>
      <sz val="10"/>
      <color rgb="FF2E75B6"/>
      <name val="Arial"/>
      <family val="2"/>
      <charset val="1"/>
    </font>
    <font>
      <b val="true"/>
      <sz val="10"/>
      <color rgb="FF595959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2E75B6"/>
        <bgColor rgb="FF1A7A85"/>
      </patternFill>
    </fill>
    <fill>
      <patternFill patternType="solid">
        <fgColor rgb="FF1F6B75"/>
        <bgColor rgb="FF145F68"/>
      </patternFill>
    </fill>
    <fill>
      <patternFill patternType="solid">
        <fgColor rgb="FF1A7A85"/>
        <bgColor rgb="FF1F6B75"/>
      </patternFill>
    </fill>
    <fill>
      <patternFill patternType="solid">
        <fgColor rgb="FFF0F9FA"/>
        <bgColor rgb="FFEEF8F9"/>
      </patternFill>
    </fill>
    <fill>
      <patternFill patternType="solid">
        <fgColor rgb="FF145F68"/>
        <bgColor rgb="FF1F6B75"/>
      </patternFill>
    </fill>
    <fill>
      <patternFill patternType="solid">
        <fgColor rgb="FFD6EEF0"/>
        <bgColor rgb="FFD0E8EC"/>
      </patternFill>
    </fill>
    <fill>
      <patternFill patternType="solid">
        <fgColor rgb="FFC2E5E9"/>
        <bgColor rgb="FFD0E8EC"/>
      </patternFill>
    </fill>
    <fill>
      <patternFill patternType="solid">
        <fgColor rgb="FFE0F5F7"/>
        <bgColor rgb="FFE3F2FD"/>
      </patternFill>
    </fill>
    <fill>
      <patternFill patternType="solid">
        <fgColor rgb="FFFFFFFF"/>
        <bgColor rgb="FFF7F7F7"/>
      </patternFill>
    </fill>
    <fill>
      <patternFill patternType="solid">
        <fgColor rgb="FFEEF8F9"/>
        <bgColor rgb="FFF0F9FA"/>
      </patternFill>
    </fill>
    <fill>
      <patternFill patternType="solid">
        <fgColor rgb="FF37474F"/>
        <bgColor rgb="FF404040"/>
      </patternFill>
    </fill>
    <fill>
      <patternFill patternType="solid">
        <fgColor rgb="FFF7F7F7"/>
        <bgColor rgb="FFF0F9FA"/>
      </patternFill>
    </fill>
    <fill>
      <patternFill patternType="solid">
        <fgColor rgb="FFBF360C"/>
        <bgColor rgb="FFB71C1C"/>
      </patternFill>
    </fill>
    <fill>
      <patternFill patternType="solid">
        <fgColor rgb="FFE3F2FD"/>
        <bgColor rgb="FFE0F5F7"/>
      </patternFill>
    </fill>
    <fill>
      <patternFill patternType="solid">
        <fgColor rgb="FFFFF8E1"/>
        <bgColor rgb="FFFFF3CD"/>
      </patternFill>
    </fill>
    <fill>
      <patternFill patternType="solid">
        <fgColor rgb="FFE8F5E9"/>
        <bgColor rgb="FFE0F5F7"/>
      </patternFill>
    </fill>
    <fill>
      <patternFill patternType="solid">
        <fgColor rgb="FFFFF9C4"/>
        <bgColor rgb="FFFFF3CD"/>
      </patternFill>
    </fill>
    <fill>
      <patternFill patternType="solid">
        <fgColor rgb="FFFFEBEE"/>
        <bgColor rgb="FFF2F2F2"/>
      </patternFill>
    </fill>
    <fill>
      <patternFill patternType="solid">
        <fgColor rgb="FFD6E4F0"/>
        <bgColor rgb="FFD0E8EC"/>
      </patternFill>
    </fill>
    <fill>
      <patternFill patternType="solid">
        <fgColor rgb="FFF2F2F2"/>
        <bgColor rgb="FFF7F7F7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>
        <color rgb="FF9DC3E6"/>
      </left>
      <right style="medium">
        <color rgb="FF9DC3E6"/>
      </right>
      <top style="medium">
        <color rgb="FF9DC3E6"/>
      </top>
      <bottom style="medium">
        <color rgb="FF9DC3E6"/>
      </bottom>
      <diagonal/>
    </border>
    <border diagonalUp="false" diagonalDown="false">
      <left style="medium">
        <color rgb="FF9DC3E6"/>
      </left>
      <right style="medium">
        <color rgb="FF9DC3E6"/>
      </right>
      <top style="medium">
        <color rgb="FF9DC3E6"/>
      </top>
      <bottom/>
      <diagonal/>
    </border>
    <border diagonalUp="false" diagonalDown="false">
      <left style="medium">
        <color rgb="FF5BA4AD"/>
      </left>
      <right style="medium">
        <color rgb="FF5BA4AD"/>
      </right>
      <top style="medium">
        <color rgb="FF5BA4AD"/>
      </top>
      <bottom style="medium">
        <color rgb="FF5BA4AD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medium">
        <color rgb="FF4AA8B4"/>
      </left>
      <right/>
      <top/>
      <bottom style="thin">
        <color rgb="FFD0E8EC"/>
      </bottom>
      <diagonal/>
    </border>
    <border diagonalUp="false" diagonalDown="false">
      <left style="medium">
        <color rgb="FF4AA8B4"/>
      </left>
      <right/>
      <top/>
      <bottom style="medium">
        <color rgb="FF4AA8B4"/>
      </bottom>
      <diagonal/>
    </border>
    <border diagonalUp="false" diagonalDown="false">
      <left style="medium">
        <color rgb="FF4AA8B4"/>
      </left>
      <right style="medium">
        <color rgb="FF4AA8B4"/>
      </right>
      <top style="medium">
        <color rgb="FF4AA8B4"/>
      </top>
      <bottom style="medium">
        <color rgb="FF4AA8B4"/>
      </bottom>
      <diagonal/>
    </border>
    <border diagonalUp="false" diagonalDown="false">
      <left style="medium">
        <color rgb="FF4AA8B4"/>
      </left>
      <right style="medium">
        <color rgb="FF4AA8B4"/>
      </right>
      <top style="thin">
        <color rgb="FF9DC3E6"/>
      </top>
      <bottom style="thin">
        <color rgb="FF9DC3E6"/>
      </bottom>
      <diagonal/>
    </border>
    <border diagonalUp="false" diagonalDown="false">
      <left/>
      <right/>
      <top style="medium">
        <color rgb="FF4AA8B4"/>
      </top>
      <bottom/>
      <diagonal/>
    </border>
    <border diagonalUp="false" diagonalDown="false">
      <left style="medium">
        <color rgb="FF37474F"/>
      </left>
      <right/>
      <top/>
      <bottom style="thin">
        <color rgb="FFDDDDDD"/>
      </bottom>
      <diagonal/>
    </border>
    <border diagonalUp="false" diagonalDown="false">
      <left style="medium">
        <color rgb="FF37474F"/>
      </left>
      <right/>
      <top/>
      <bottom style="medium">
        <color rgb="FF37474F"/>
      </bottom>
      <diagonal/>
    </border>
    <border diagonalUp="false" diagonalDown="false">
      <left style="medium">
        <color rgb="FF9E9E9E"/>
      </left>
      <right style="medium">
        <color rgb="FF9E9E9E"/>
      </right>
      <top style="medium">
        <color rgb="FF9E9E9E"/>
      </top>
      <bottom/>
      <diagonal/>
    </border>
    <border diagonalUp="false" diagonalDown="false">
      <left style="medium">
        <color rgb="FF9E9E9E"/>
      </left>
      <right/>
      <top style="medium">
        <color rgb="FF9E9E9E"/>
      </top>
      <bottom style="medium">
        <color rgb="FF9E9E9E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medium">
        <color theme="0" tint="-0.25"/>
      </top>
      <bottom style="medium">
        <color theme="0" tint="-0.25"/>
      </bottom>
      <diagonal/>
    </border>
    <border diagonalUp="false" diagonalDown="false">
      <left/>
      <right style="medium">
        <color rgb="FF9E9E9E"/>
      </right>
      <top style="medium">
        <color rgb="FF9E9E9E"/>
      </top>
      <bottom style="medium">
        <color rgb="FF9E9E9E"/>
      </bottom>
      <diagonal/>
    </border>
    <border diagonalUp="false" diagonalDown="false"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E65100"/>
      </left>
      <right style="medium">
        <color rgb="FFE65100"/>
      </right>
      <top style="thin">
        <color rgb="FFFFB300"/>
      </top>
      <bottom style="thin">
        <color rgb="FFFFB30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 style="medium">
        <color rgb="FFE65100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/>
      <right/>
      <top style="medium">
        <color rgb="FFBF360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3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3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5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3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9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3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2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26" fillId="3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10" fillId="5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28" fillId="6" borderId="8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28" fillId="6" borderId="9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8" fillId="7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5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0" fillId="7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7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8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31" fillId="9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30" fillId="1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2" fillId="11" borderId="5" xfId="0" applyFont="true" applyBorder="true" applyAlignment="true" applyProtection="true">
      <alignment horizontal="general" vertical="center" textRotation="0" wrapText="false" indent="1" shrinkToFit="false"/>
      <protection locked="false" hidden="false"/>
    </xf>
    <xf numFmtId="164" fontId="32" fillId="12" borderId="5" xfId="0" applyFont="true" applyBorder="true" applyAlignment="true" applyProtection="true">
      <alignment horizontal="general" vertical="center" textRotation="0" wrapText="false" indent="1" shrinkToFit="false"/>
      <protection locked="false" hidden="false"/>
    </xf>
    <xf numFmtId="164" fontId="10" fillId="2" borderId="0" xfId="0" applyFont="true" applyBorder="true" applyAlignment="true" applyProtection="true">
      <alignment horizontal="right" vertical="center" textRotation="0" wrapText="false" indent="2" shrinkToFit="false"/>
      <protection locked="false" hidden="false"/>
    </xf>
    <xf numFmtId="168" fontId="33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36" fillId="2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6" fillId="3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10" fillId="13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28" fillId="14" borderId="13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28" fillId="14" borderId="14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20" fillId="13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20" fillId="15" borderId="0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20" fillId="1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1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3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3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3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3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5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15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14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9" fillId="16" borderId="2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0" fillId="11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1" fillId="17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2" fillId="17" borderId="23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6" fontId="38" fillId="11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3" fillId="11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44" fillId="11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3" fillId="14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9" fillId="16" borderId="2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5" fillId="11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11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6" fillId="14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6" fillId="11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44" fillId="14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6" fillId="11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6" fillId="11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2" fillId="17" borderId="23" xfId="0" applyFont="true" applyBorder="true" applyAlignment="true" applyProtection="true">
      <alignment horizontal="center" vertical="center" textRotation="0" wrapText="false" indent="1" shrinkToFit="false"/>
      <protection locked="false" hidden="false"/>
    </xf>
    <xf numFmtId="164" fontId="42" fillId="17" borderId="23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5" fontId="46" fillId="14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7" fillId="18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18" borderId="2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48" fillId="19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19" borderId="2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49" fillId="2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0" borderId="2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51" fillId="16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16" borderId="2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3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21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3" fillId="21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11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3" fillId="11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2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22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11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3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5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3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1F6B75"/>
          <bgColor rgb="FF000000"/>
        </patternFill>
      </fill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375623"/>
        <sz val="10"/>
      </font>
    </dxf>
    <dxf>
      <fill>
        <patternFill>
          <bgColor rgb="FFFFF3CD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CCCC"/>
        </patternFill>
      </fill>
    </dxf>
    <dxf>
      <font>
        <name val="Arial"/>
        <charset val="1"/>
        <family val="0"/>
        <color rgb="FF664D03"/>
        <sz val="10"/>
      </font>
      <fill>
        <patternFill>
          <bgColor rgb="FFFFF3CD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color rgb="FF1B5E20"/>
        <sz val="10"/>
      </font>
      <fill>
        <patternFill>
          <bgColor rgb="FFE8F5E9"/>
        </patternFill>
      </fill>
    </dxf>
    <dxf>
      <font>
        <name val="Arial"/>
        <charset val="1"/>
        <family val="0"/>
        <color rgb="FF5D4037"/>
        <sz val="10"/>
      </font>
      <fill>
        <patternFill>
          <bgColor rgb="FFFFF9C4"/>
        </patternFill>
      </fill>
    </dxf>
    <dxf>
      <font>
        <name val="Arial"/>
        <charset val="1"/>
        <family val="0"/>
        <color rgb="FFB71C1C"/>
        <sz val="10"/>
      </font>
      <fill>
        <patternFill>
          <bgColor rgb="FFFFEBEE"/>
        </patternFill>
      </fill>
    </dxf>
    <dxf>
      <font>
        <name val="Arial"/>
        <charset val="1"/>
        <family val="0"/>
        <color rgb="FF0D47A1"/>
        <sz val="10"/>
      </font>
      <fill>
        <patternFill>
          <bgColor rgb="FFE3F2FD"/>
        </patternFill>
      </fill>
    </dxf>
    <dxf>
      <font>
        <name val="Arial"/>
        <charset val="1"/>
        <family val="0"/>
        <b val="1"/>
        <color rgb="FFB71C1C"/>
        <sz val="11"/>
      </font>
    </dxf>
    <dxf>
      <font>
        <name val="Arial"/>
        <charset val="1"/>
        <family val="0"/>
        <b val="1"/>
        <color rgb="FF1B5E20"/>
        <sz val="11"/>
      </font>
    </dxf>
  </dxfs>
  <colors>
    <indexedColors>
      <rgbColor rgb="FF000000"/>
      <rgbColor rgb="FFFFFFFF"/>
      <rgbColor rgb="FFC00000"/>
      <rgbColor rgb="FFF7F7F7"/>
      <rgbColor rgb="FF0000FF"/>
      <rgbColor rgb="FFFFF8E1"/>
      <rgbColor rgb="FFFF00FF"/>
      <rgbColor rgb="FFE3F2FD"/>
      <rgbColor rgb="FF800000"/>
      <rgbColor rgb="FF1B5E20"/>
      <rgbColor rgb="FF000080"/>
      <rgbColor rgb="FF664D03"/>
      <rgbColor rgb="FF800080"/>
      <rgbColor rgb="FF1A7A85"/>
      <rgbColor rgb="FFBFBFBF"/>
      <rgbColor rgb="FF737373"/>
      <rgbColor rgb="FFC2E5E9"/>
      <rgbColor rgb="FFB71C1C"/>
      <rgbColor rgb="FFFFF9C4"/>
      <rgbColor rgb="FFE0F5F7"/>
      <rgbColor rgb="FF660066"/>
      <rgbColor rgb="FFFFEBEE"/>
      <rgbColor rgb="FF145F68"/>
      <rgbColor rgb="FFCCCCCC"/>
      <rgbColor rgb="FF000080"/>
      <rgbColor rgb="FFFF00FF"/>
      <rgbColor rgb="FFE8F5E9"/>
      <rgbColor rgb="FFEEF8F9"/>
      <rgbColor rgb="FF800080"/>
      <rgbColor rgb="FF800000"/>
      <rgbColor rgb="FF1F6B75"/>
      <rgbColor rgb="FF0000FF"/>
      <rgbColor rgb="FFF0F9FA"/>
      <rgbColor rgb="FFD6EEF0"/>
      <rgbColor rgb="FFE2EFDA"/>
      <rgbColor rgb="FFFFF3CD"/>
      <rgbColor rgb="FF9DC3E6"/>
      <rgbColor rgb="FFD6E4F0"/>
      <rgbColor rgb="FFDDDDDD"/>
      <rgbColor rgb="FFFFCCCC"/>
      <rgbColor rgb="FF2E75B6"/>
      <rgbColor rgb="FF5BA4AD"/>
      <rgbColor rgb="FFD0E8EC"/>
      <rgbColor rgb="FFFFB300"/>
      <rgbColor rgb="FFF2F2F2"/>
      <rgbColor rgb="FFE65100"/>
      <rgbColor rgb="FF595959"/>
      <rgbColor rgb="FF9E9E9E"/>
      <rgbColor rgb="FF1F3864"/>
      <rgbColor rgb="FF4AA8B4"/>
      <rgbColor rgb="FF37474F"/>
      <rgbColor rgb="FF375623"/>
      <rgbColor rgb="FFBF360C"/>
      <rgbColor rgb="FF5D4037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31"/>
  <sheetViews>
    <sheetView showFormulas="false" showGridLines="false" showRowColHeaders="true" showZeros="true" rightToLeft="false" tabSelected="true" showOutlineSymbols="true" defaultGridColor="true" view="normal" topLeftCell="B1" colorId="64" zoomScale="60" zoomScaleNormal="60" zoomScalePageLayoutView="100" workbookViewId="0">
      <pane xSplit="0" ySplit="3" topLeftCell="A4" activePane="bottomLeft" state="frozen"/>
      <selection pane="topLeft" activeCell="B1" activeCellId="0" sqref="B1"/>
      <selection pane="bottomLeft" activeCell="H28" activeCellId="0" sqref="H28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2" width="16"/>
    <col collapsed="false" customWidth="true" hidden="false" outlineLevel="0" max="3" min="3" style="1" width="21.18"/>
    <col collapsed="false" customWidth="true" hidden="false" outlineLevel="0" max="4" min="4" style="2" width="7.54"/>
    <col collapsed="false" customWidth="true" hidden="false" outlineLevel="0" max="5" min="5" style="1" width="13"/>
    <col collapsed="false" customWidth="true" hidden="false" outlineLevel="0" max="6" min="6" style="1" width="19.91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7.63"/>
    <col collapsed="false" customWidth="true" hidden="false" outlineLevel="0" max="10" min="10" style="1" width="14"/>
    <col collapsed="false" customWidth="true" hidden="false" outlineLevel="0" max="11" min="11" style="1" width="18.54"/>
    <col collapsed="false" customWidth="true" hidden="false" outlineLevel="0" max="12" min="12" style="2" width="12"/>
    <col collapsed="false" customWidth="true" hidden="false" outlineLevel="0" max="14" min="13" style="2" width="14"/>
    <col collapsed="false" customWidth="true" hidden="false" outlineLevel="0" max="15" min="15" style="2" width="20"/>
    <col collapsed="false" customWidth="true" hidden="false" outlineLevel="0" max="16" min="16" style="2" width="18"/>
    <col collapsed="false" customWidth="true" hidden="false" outlineLevel="0" max="24" min="17" style="2" width="11"/>
  </cols>
  <sheetData>
    <row r="1" customFormat="false" ht="37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5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Format="false" ht="36" hidden="false" customHeight="true" outlineLevel="0" collapsed="false">
      <c r="A3" s="6" t="s">
        <v>3</v>
      </c>
      <c r="B3" s="7" t="s">
        <v>4</v>
      </c>
      <c r="C3" s="7" t="s">
        <v>5</v>
      </c>
      <c r="D3" s="8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8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7" t="s">
        <v>18</v>
      </c>
      <c r="Q3" s="9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10" t="s">
        <v>26</v>
      </c>
    </row>
    <row r="4" customFormat="false" ht="19.5" hidden="true" customHeight="true" outlineLevel="0" collapsed="false">
      <c r="A4" s="11" t="n">
        <v>1</v>
      </c>
      <c r="B4" s="12" t="s">
        <v>27</v>
      </c>
      <c r="C4" s="13" t="s">
        <v>28</v>
      </c>
      <c r="D4" s="12" t="s">
        <v>29</v>
      </c>
      <c r="E4" s="13" t="s">
        <v>30</v>
      </c>
      <c r="F4" s="14" t="s">
        <v>31</v>
      </c>
      <c r="G4" s="15" t="n">
        <v>46084</v>
      </c>
      <c r="H4" s="13" t="n">
        <v>2000</v>
      </c>
      <c r="I4" s="15" t="n">
        <v>46129</v>
      </c>
      <c r="J4" s="13" t="n">
        <v>175</v>
      </c>
      <c r="K4" s="16" t="n">
        <f aca="false">G4+J4</f>
        <v>46259</v>
      </c>
      <c r="L4" s="17" t="n">
        <f aca="false">IF(AND(K4&lt;&gt;"",I4&lt;&gt;""),K4-I4,"")</f>
        <v>130</v>
      </c>
      <c r="M4" s="18"/>
      <c r="N4" s="18"/>
      <c r="O4" s="19"/>
      <c r="P4" s="20"/>
      <c r="Q4" s="21"/>
      <c r="R4" s="22"/>
      <c r="S4" s="22"/>
      <c r="T4" s="22"/>
      <c r="U4" s="22"/>
      <c r="V4" s="22"/>
      <c r="W4" s="23" t="n">
        <f aca="false">SUM(Q4:V4)</f>
        <v>0</v>
      </c>
      <c r="X4" s="24" t="str">
        <f aca="false">IF(COUNTA(Q4:V4)&gt;0,ROUND(W4/6,0),"")</f>
        <v/>
      </c>
    </row>
    <row r="5" customFormat="false" ht="19.5" hidden="true" customHeight="true" outlineLevel="0" collapsed="false">
      <c r="A5" s="11" t="n">
        <v>2</v>
      </c>
      <c r="B5" s="12" t="s">
        <v>27</v>
      </c>
      <c r="C5" s="13" t="s">
        <v>28</v>
      </c>
      <c r="D5" s="12" t="s">
        <v>29</v>
      </c>
      <c r="E5" s="13" t="s">
        <v>30</v>
      </c>
      <c r="F5" s="13" t="s">
        <v>32</v>
      </c>
      <c r="G5" s="15" t="n">
        <v>46084</v>
      </c>
      <c r="H5" s="13" t="n">
        <v>3000</v>
      </c>
      <c r="I5" s="15" t="n">
        <v>46164</v>
      </c>
      <c r="J5" s="13" t="n">
        <v>175</v>
      </c>
      <c r="K5" s="16" t="n">
        <f aca="false">G5+J5</f>
        <v>46259</v>
      </c>
      <c r="L5" s="17" t="n">
        <f aca="false">IF(AND(K5&lt;&gt;"",I5&lt;&gt;""),K5-I5,"")</f>
        <v>95</v>
      </c>
      <c r="M5" s="18"/>
      <c r="N5" s="18"/>
      <c r="O5" s="25"/>
      <c r="P5" s="20"/>
      <c r="Q5" s="21"/>
      <c r="R5" s="22"/>
      <c r="S5" s="22"/>
      <c r="T5" s="22"/>
      <c r="U5" s="22"/>
      <c r="V5" s="22"/>
      <c r="W5" s="23" t="n">
        <f aca="false">SUM(Q5:V5)</f>
        <v>0</v>
      </c>
      <c r="X5" s="24" t="str">
        <f aca="false">IF(COUNTA(Q5:V5)&gt;0,ROUND(W5/6,0),"")</f>
        <v/>
      </c>
    </row>
    <row r="6" customFormat="false" ht="19.5" hidden="true" customHeight="true" outlineLevel="0" collapsed="false">
      <c r="A6" s="11" t="n">
        <v>3</v>
      </c>
      <c r="B6" s="12" t="s">
        <v>33</v>
      </c>
      <c r="C6" s="13" t="s">
        <v>34</v>
      </c>
      <c r="D6" s="12" t="s">
        <v>35</v>
      </c>
      <c r="E6" s="13" t="s">
        <v>30</v>
      </c>
      <c r="F6" s="13" t="s">
        <v>36</v>
      </c>
      <c r="G6" s="15" t="n">
        <v>46031</v>
      </c>
      <c r="H6" s="13" t="n">
        <v>500</v>
      </c>
      <c r="I6" s="15" t="n">
        <v>46178</v>
      </c>
      <c r="J6" s="13" t="n">
        <v>175</v>
      </c>
      <c r="K6" s="16" t="n">
        <f aca="false">G6+J6</f>
        <v>46206</v>
      </c>
      <c r="L6" s="17" t="n">
        <f aca="false">IF(AND(K6&lt;&gt;"",I6&lt;&gt;""),K6-I6,"")</f>
        <v>28</v>
      </c>
      <c r="M6" s="26"/>
      <c r="N6" s="26"/>
      <c r="O6" s="19"/>
      <c r="P6" s="20"/>
      <c r="Q6" s="21"/>
      <c r="R6" s="22"/>
      <c r="S6" s="22"/>
      <c r="T6" s="22"/>
      <c r="U6" s="22"/>
      <c r="V6" s="22"/>
      <c r="W6" s="23" t="n">
        <f aca="false">SUM(Q6:V6)</f>
        <v>0</v>
      </c>
      <c r="X6" s="24" t="str">
        <f aca="false">IF(COUNTA(Q6:V6)&gt;0,ROUND(W6/6,0),"")</f>
        <v/>
      </c>
    </row>
    <row r="7" customFormat="false" ht="19.5" hidden="true" customHeight="true" outlineLevel="0" collapsed="false">
      <c r="A7" s="11" t="n">
        <v>4</v>
      </c>
      <c r="B7" s="12" t="s">
        <v>33</v>
      </c>
      <c r="C7" s="13" t="s">
        <v>34</v>
      </c>
      <c r="D7" s="12" t="s">
        <v>35</v>
      </c>
      <c r="E7" s="13" t="s">
        <v>30</v>
      </c>
      <c r="F7" s="13" t="s">
        <v>37</v>
      </c>
      <c r="G7" s="15" t="n">
        <v>46044</v>
      </c>
      <c r="H7" s="13" t="n">
        <v>500</v>
      </c>
      <c r="I7" s="15" t="n">
        <v>46220</v>
      </c>
      <c r="J7" s="13" t="n">
        <v>175</v>
      </c>
      <c r="K7" s="16" t="n">
        <f aca="false">G7+J7</f>
        <v>46219</v>
      </c>
      <c r="L7" s="17" t="n">
        <f aca="false">IF(AND(K7&lt;&gt;"",I7&lt;&gt;""),K7-I7,"")</f>
        <v>-1</v>
      </c>
      <c r="M7" s="18"/>
      <c r="N7" s="18"/>
      <c r="O7" s="25"/>
      <c r="P7" s="20"/>
      <c r="Q7" s="21"/>
      <c r="R7" s="22"/>
      <c r="S7" s="22"/>
      <c r="T7" s="22"/>
      <c r="U7" s="22"/>
      <c r="V7" s="22"/>
      <c r="W7" s="23" t="n">
        <f aca="false">SUM(Q7:V7)</f>
        <v>0</v>
      </c>
      <c r="X7" s="24" t="str">
        <f aca="false">IF(COUNTA(Q7:V7)&gt;0,ROUND(W7/6,0),"")</f>
        <v/>
      </c>
    </row>
    <row r="8" customFormat="false" ht="19.5" hidden="true" customHeight="true" outlineLevel="0" collapsed="false">
      <c r="A8" s="11" t="n">
        <v>5</v>
      </c>
      <c r="B8" s="12" t="s">
        <v>33</v>
      </c>
      <c r="C8" s="13" t="s">
        <v>34</v>
      </c>
      <c r="D8" s="12" t="s">
        <v>35</v>
      </c>
      <c r="E8" s="13" t="s">
        <v>30</v>
      </c>
      <c r="F8" s="13" t="s">
        <v>38</v>
      </c>
      <c r="G8" s="15" t="n">
        <v>46084</v>
      </c>
      <c r="H8" s="13" t="n">
        <v>1500</v>
      </c>
      <c r="I8" s="15" t="n">
        <v>46164</v>
      </c>
      <c r="J8" s="13" t="n">
        <v>175</v>
      </c>
      <c r="K8" s="16" t="n">
        <f aca="false">G8+J8</f>
        <v>46259</v>
      </c>
      <c r="L8" s="17" t="n">
        <f aca="false">IF(AND(K8&lt;&gt;"",I8&lt;&gt;""),K8-I8,"")</f>
        <v>95</v>
      </c>
      <c r="M8" s="18"/>
      <c r="N8" s="18"/>
      <c r="O8" s="25"/>
      <c r="P8" s="20"/>
      <c r="Q8" s="21"/>
      <c r="R8" s="22"/>
      <c r="S8" s="22"/>
      <c r="T8" s="22"/>
      <c r="U8" s="22"/>
      <c r="V8" s="22"/>
      <c r="W8" s="23" t="n">
        <f aca="false">SUM(Q8:V8)</f>
        <v>0</v>
      </c>
      <c r="X8" s="24" t="str">
        <f aca="false">IF(COUNTA(Q8:V8)&gt;0,ROUND(W8/6,0),"")</f>
        <v/>
      </c>
    </row>
    <row r="9" customFormat="false" ht="19.5" hidden="true" customHeight="true" outlineLevel="0" collapsed="false">
      <c r="A9" s="27" t="n">
        <f aca="false">IF(B9&lt;&gt;"",ROW()-3,"")</f>
        <v>6</v>
      </c>
      <c r="B9" s="12" t="s">
        <v>39</v>
      </c>
      <c r="C9" s="13" t="s">
        <v>40</v>
      </c>
      <c r="D9" s="12" t="s">
        <v>41</v>
      </c>
      <c r="E9" s="13" t="s">
        <v>30</v>
      </c>
      <c r="F9" s="13" t="s">
        <v>42</v>
      </c>
      <c r="G9" s="15" t="n">
        <v>46097</v>
      </c>
      <c r="H9" s="13" t="n">
        <v>4000</v>
      </c>
      <c r="I9" s="15" t="n">
        <v>46174</v>
      </c>
      <c r="J9" s="13" t="n">
        <v>175</v>
      </c>
      <c r="K9" s="16" t="n">
        <f aca="false">G9+J9</f>
        <v>46272</v>
      </c>
      <c r="L9" s="17" t="n">
        <f aca="false">IF(AND(K9&lt;&gt;"",I9&lt;&gt;""),K9-I9,"")</f>
        <v>98</v>
      </c>
      <c r="M9" s="18"/>
      <c r="N9" s="18"/>
      <c r="O9" s="18"/>
      <c r="P9" s="28"/>
      <c r="Q9" s="22"/>
      <c r="R9" s="22"/>
      <c r="S9" s="22"/>
      <c r="T9" s="22"/>
      <c r="U9" s="22"/>
      <c r="V9" s="22"/>
      <c r="W9" s="23" t="n">
        <f aca="false">SUM(Q9:V9)</f>
        <v>0</v>
      </c>
      <c r="X9" s="24" t="str">
        <f aca="false">IF(COUNTA(Q9:V9)&gt;0,ROUND(W9/6,0),"")</f>
        <v/>
      </c>
    </row>
    <row r="10" customFormat="false" ht="19.5" hidden="true" customHeight="true" outlineLevel="0" collapsed="false">
      <c r="A10" s="27" t="n">
        <f aca="false">IF(B10&lt;&gt;"",ROW()-3,"")</f>
        <v>7</v>
      </c>
      <c r="B10" s="12" t="s">
        <v>39</v>
      </c>
      <c r="C10" s="13" t="s">
        <v>40</v>
      </c>
      <c r="D10" s="12" t="s">
        <v>41</v>
      </c>
      <c r="E10" s="13" t="s">
        <v>30</v>
      </c>
      <c r="F10" s="13" t="s">
        <v>43</v>
      </c>
      <c r="G10" s="15" t="n">
        <v>46097</v>
      </c>
      <c r="H10" s="13" t="n">
        <v>4000</v>
      </c>
      <c r="I10" s="15" t="n">
        <v>46204</v>
      </c>
      <c r="J10" s="13" t="n">
        <v>175</v>
      </c>
      <c r="K10" s="16" t="n">
        <f aca="false">G10+J10</f>
        <v>46272</v>
      </c>
      <c r="L10" s="17" t="n">
        <f aca="false">IF(AND(K10&lt;&gt;"",I10&lt;&gt;""),K10-I10,"")</f>
        <v>68</v>
      </c>
      <c r="M10" s="18"/>
      <c r="N10" s="18"/>
      <c r="O10" s="18"/>
      <c r="P10" s="18"/>
      <c r="Q10" s="22"/>
      <c r="R10" s="22"/>
      <c r="S10" s="22"/>
      <c r="T10" s="22"/>
      <c r="U10" s="22"/>
      <c r="V10" s="22"/>
      <c r="W10" s="23" t="n">
        <f aca="false">SUM(Q10:V10)</f>
        <v>0</v>
      </c>
      <c r="X10" s="24" t="str">
        <f aca="false">IF(COUNTA(Q10:V10)&gt;0,ROUND(W10/6,0),"")</f>
        <v/>
      </c>
    </row>
    <row r="11" customFormat="false" ht="19.5" hidden="true" customHeight="true" outlineLevel="0" collapsed="false">
      <c r="A11" s="27" t="n">
        <f aca="false">IF(B11&lt;&gt;"",ROW()-3,"")</f>
        <v>8</v>
      </c>
      <c r="B11" s="12" t="s">
        <v>39</v>
      </c>
      <c r="C11" s="13" t="s">
        <v>40</v>
      </c>
      <c r="D11" s="12" t="s">
        <v>41</v>
      </c>
      <c r="E11" s="13" t="s">
        <v>30</v>
      </c>
      <c r="F11" s="13" t="s">
        <v>44</v>
      </c>
      <c r="G11" s="15" t="n">
        <v>46097</v>
      </c>
      <c r="H11" s="13" t="n">
        <v>4000</v>
      </c>
      <c r="I11" s="15" t="n">
        <v>46237</v>
      </c>
      <c r="J11" s="13" t="n">
        <v>175</v>
      </c>
      <c r="K11" s="16" t="n">
        <f aca="false">G11+J11</f>
        <v>46272</v>
      </c>
      <c r="L11" s="17" t="n">
        <f aca="false">IF(AND(K11&lt;&gt;"",I11&lt;&gt;""),K11-I11,"")</f>
        <v>35</v>
      </c>
      <c r="M11" s="18"/>
      <c r="N11" s="18"/>
      <c r="O11" s="18"/>
      <c r="P11" s="18"/>
      <c r="Q11" s="22"/>
      <c r="R11" s="22"/>
      <c r="S11" s="22"/>
      <c r="T11" s="22"/>
      <c r="U11" s="22"/>
      <c r="V11" s="22"/>
      <c r="W11" s="23" t="n">
        <f aca="false">SUM(Q11:V11)</f>
        <v>0</v>
      </c>
      <c r="X11" s="24" t="str">
        <f aca="false">IF(COUNTA(Q11:V11)&gt;0,ROUND(W11/6,0),"")</f>
        <v/>
      </c>
    </row>
    <row r="12" customFormat="false" ht="19.5" hidden="true" customHeight="true" outlineLevel="0" collapsed="false">
      <c r="A12" s="27" t="n">
        <f aca="false">IF(B12&lt;&gt;"",ROW()-3,"")</f>
        <v>9</v>
      </c>
      <c r="B12" s="12" t="s">
        <v>39</v>
      </c>
      <c r="C12" s="13" t="s">
        <v>40</v>
      </c>
      <c r="D12" s="12" t="s">
        <v>41</v>
      </c>
      <c r="E12" s="13" t="s">
        <v>30</v>
      </c>
      <c r="F12" s="13" t="s">
        <v>45</v>
      </c>
      <c r="G12" s="15" t="n">
        <v>46097</v>
      </c>
      <c r="H12" s="13" t="n">
        <v>4000</v>
      </c>
      <c r="I12" s="15" t="n">
        <v>46266</v>
      </c>
      <c r="J12" s="13" t="n">
        <v>175</v>
      </c>
      <c r="K12" s="16" t="n">
        <f aca="false">G12+J12</f>
        <v>46272</v>
      </c>
      <c r="L12" s="17" t="n">
        <f aca="false">IF(AND(K12&lt;&gt;"",I12&lt;&gt;""),K12-I12,"")</f>
        <v>6</v>
      </c>
      <c r="M12" s="18"/>
      <c r="N12" s="18"/>
      <c r="O12" s="18"/>
      <c r="P12" s="18"/>
      <c r="Q12" s="22"/>
      <c r="R12" s="22"/>
      <c r="S12" s="22"/>
      <c r="T12" s="22"/>
      <c r="U12" s="22"/>
      <c r="V12" s="22"/>
      <c r="W12" s="23" t="n">
        <f aca="false">SUM(Q12:V12)</f>
        <v>0</v>
      </c>
      <c r="X12" s="24" t="str">
        <f aca="false">IF(COUNTA(Q12:V12)&gt;0,ROUND(W12/6,0),"")</f>
        <v/>
      </c>
    </row>
    <row r="13" customFormat="false" ht="19.5" hidden="true" customHeight="true" outlineLevel="0" collapsed="false">
      <c r="A13" s="27" t="n">
        <f aca="false">IF(B13&lt;&gt;"",ROW()-3,"")</f>
        <v>10</v>
      </c>
      <c r="B13" s="12" t="s">
        <v>39</v>
      </c>
      <c r="C13" s="13" t="s">
        <v>40</v>
      </c>
      <c r="D13" s="12" t="s">
        <v>41</v>
      </c>
      <c r="E13" s="13" t="s">
        <v>30</v>
      </c>
      <c r="F13" s="13" t="s">
        <v>46</v>
      </c>
      <c r="G13" s="15" t="n">
        <v>46125</v>
      </c>
      <c r="H13" s="13" t="n">
        <v>1000</v>
      </c>
      <c r="I13" s="15" t="n">
        <v>46296</v>
      </c>
      <c r="J13" s="13" t="n">
        <v>175</v>
      </c>
      <c r="K13" s="16" t="n">
        <f aca="false">G13+J13</f>
        <v>46300</v>
      </c>
      <c r="L13" s="17" t="n">
        <f aca="false">IF(AND(K13&lt;&gt;"",I13&lt;&gt;""),K13-I13,"")</f>
        <v>4</v>
      </c>
      <c r="M13" s="18"/>
      <c r="N13" s="18"/>
      <c r="O13" s="18"/>
      <c r="P13" s="18"/>
      <c r="Q13" s="22"/>
      <c r="R13" s="22"/>
      <c r="S13" s="22"/>
      <c r="T13" s="22"/>
      <c r="U13" s="22"/>
      <c r="V13" s="22"/>
      <c r="W13" s="23" t="n">
        <f aca="false">SUM(Q13:V13)</f>
        <v>0</v>
      </c>
      <c r="X13" s="24" t="str">
        <f aca="false">IF(COUNTA(Q13:V13)&gt;0,ROUND(W13/6,0),"")</f>
        <v/>
      </c>
    </row>
    <row r="14" customFormat="false" ht="19.5" hidden="true" customHeight="true" outlineLevel="0" collapsed="false">
      <c r="A14" s="27" t="n">
        <f aca="false">IF(B14&lt;&gt;"",ROW()-3,"")</f>
        <v>11</v>
      </c>
      <c r="B14" s="12" t="s">
        <v>39</v>
      </c>
      <c r="C14" s="13" t="s">
        <v>40</v>
      </c>
      <c r="D14" s="12" t="s">
        <v>41</v>
      </c>
      <c r="E14" s="13" t="s">
        <v>30</v>
      </c>
      <c r="F14" s="13" t="s">
        <v>47</v>
      </c>
      <c r="G14" s="15" t="n">
        <v>46125</v>
      </c>
      <c r="H14" s="13" t="n">
        <v>4000</v>
      </c>
      <c r="I14" s="15" t="n">
        <v>46328</v>
      </c>
      <c r="J14" s="13" t="n">
        <v>175</v>
      </c>
      <c r="K14" s="16" t="n">
        <f aca="false">G14+J14</f>
        <v>46300</v>
      </c>
      <c r="L14" s="17" t="n">
        <f aca="false">IF(AND(K14&lt;&gt;"",I14&lt;&gt;""),K14-I14,"")</f>
        <v>-28</v>
      </c>
      <c r="M14" s="18"/>
      <c r="N14" s="18"/>
      <c r="O14" s="18"/>
      <c r="P14" s="18"/>
      <c r="Q14" s="22"/>
      <c r="R14" s="22"/>
      <c r="S14" s="22"/>
      <c r="T14" s="22"/>
      <c r="U14" s="22"/>
      <c r="V14" s="22"/>
      <c r="W14" s="23" t="n">
        <f aca="false">SUM(Q14:V14)</f>
        <v>0</v>
      </c>
      <c r="X14" s="24" t="str">
        <f aca="false">IF(COUNTA(Q14:V14)&gt;0,ROUND(W14/6,0),"")</f>
        <v/>
      </c>
    </row>
    <row r="15" customFormat="false" ht="19.5" hidden="true" customHeight="true" outlineLevel="0" collapsed="false">
      <c r="A15" s="27" t="n">
        <f aca="false">IF(B15&lt;&gt;"",ROW()-3,"")</f>
        <v>12</v>
      </c>
      <c r="B15" s="12" t="s">
        <v>48</v>
      </c>
      <c r="C15" s="13" t="s">
        <v>49</v>
      </c>
      <c r="D15" s="12" t="s">
        <v>50</v>
      </c>
      <c r="E15" s="13" t="s">
        <v>30</v>
      </c>
      <c r="F15" s="13" t="s">
        <v>51</v>
      </c>
      <c r="G15" s="15" t="n">
        <v>46092</v>
      </c>
      <c r="H15" s="13" t="n">
        <v>2000</v>
      </c>
      <c r="I15" s="15" t="n">
        <v>46125</v>
      </c>
      <c r="J15" s="13" t="n">
        <v>175</v>
      </c>
      <c r="K15" s="16" t="n">
        <f aca="false">G15+J15</f>
        <v>46267</v>
      </c>
      <c r="L15" s="17" t="n">
        <f aca="false">IF(AND(K15&lt;&gt;"",I15&lt;&gt;""),K15-I15,"")</f>
        <v>142</v>
      </c>
      <c r="M15" s="18"/>
      <c r="N15" s="18"/>
      <c r="O15" s="18"/>
      <c r="P15" s="18"/>
      <c r="Q15" s="22"/>
      <c r="R15" s="22"/>
      <c r="S15" s="22"/>
      <c r="T15" s="22"/>
      <c r="U15" s="22"/>
      <c r="V15" s="22"/>
      <c r="W15" s="23" t="n">
        <f aca="false">SUM(Q15:V15)</f>
        <v>0</v>
      </c>
      <c r="X15" s="24" t="str">
        <f aca="false">IF(COUNTA(Q15:V15)&gt;0,ROUND(W15/6,0),"")</f>
        <v/>
      </c>
    </row>
    <row r="16" customFormat="false" ht="19.5" hidden="true" customHeight="true" outlineLevel="0" collapsed="false">
      <c r="A16" s="27" t="n">
        <f aca="false">IF(B16&lt;&gt;"",ROW()-3,"")</f>
        <v>13</v>
      </c>
      <c r="B16" s="12" t="s">
        <v>52</v>
      </c>
      <c r="C16" s="13" t="s">
        <v>53</v>
      </c>
      <c r="D16" s="12" t="s">
        <v>54</v>
      </c>
      <c r="E16" s="13" t="s">
        <v>30</v>
      </c>
      <c r="F16" s="13" t="s">
        <v>55</v>
      </c>
      <c r="G16" s="15" t="n">
        <v>46084</v>
      </c>
      <c r="H16" s="13" t="n">
        <v>1000</v>
      </c>
      <c r="I16" s="15" t="n">
        <v>46164</v>
      </c>
      <c r="J16" s="13" t="n">
        <v>175</v>
      </c>
      <c r="K16" s="16" t="n">
        <f aca="false">G16+J16</f>
        <v>46259</v>
      </c>
      <c r="L16" s="17" t="n">
        <f aca="false">IF(AND(K16&lt;&gt;"",I16&lt;&gt;""),K16-I16,"")</f>
        <v>95</v>
      </c>
      <c r="M16" s="18"/>
      <c r="N16" s="18"/>
      <c r="O16" s="18"/>
      <c r="P16" s="18"/>
      <c r="Q16" s="22"/>
      <c r="R16" s="22"/>
      <c r="S16" s="22"/>
      <c r="T16" s="22"/>
      <c r="U16" s="22"/>
      <c r="V16" s="22"/>
      <c r="W16" s="23" t="n">
        <f aca="false">SUM(Q16:V16)</f>
        <v>0</v>
      </c>
      <c r="X16" s="24" t="str">
        <f aca="false">IF(COUNTA(Q16:V16)&gt;0,ROUND(W16/6,0),"")</f>
        <v/>
      </c>
    </row>
    <row r="17" customFormat="false" ht="19.5" hidden="true" customHeight="true" outlineLevel="0" collapsed="false">
      <c r="A17" s="27" t="n">
        <f aca="false">IF(B17&lt;&gt;"",ROW()-3,"")</f>
        <v>14</v>
      </c>
      <c r="B17" s="12" t="s">
        <v>52</v>
      </c>
      <c r="C17" s="13" t="s">
        <v>53</v>
      </c>
      <c r="D17" s="12" t="s">
        <v>54</v>
      </c>
      <c r="E17" s="13" t="s">
        <v>30</v>
      </c>
      <c r="F17" s="13" t="s">
        <v>56</v>
      </c>
      <c r="G17" s="15" t="n">
        <v>46092</v>
      </c>
      <c r="H17" s="13" t="n">
        <v>2000</v>
      </c>
      <c r="I17" s="15" t="n">
        <v>46174</v>
      </c>
      <c r="J17" s="13" t="n">
        <v>175</v>
      </c>
      <c r="K17" s="16" t="n">
        <f aca="false">G17+J17</f>
        <v>46267</v>
      </c>
      <c r="L17" s="17" t="n">
        <f aca="false">IF(AND(K17&lt;&gt;"",I17&lt;&gt;""),K17-I17,"")</f>
        <v>93</v>
      </c>
      <c r="M17" s="18"/>
      <c r="N17" s="18"/>
      <c r="O17" s="18"/>
      <c r="P17" s="18"/>
      <c r="Q17" s="22"/>
      <c r="R17" s="22"/>
      <c r="S17" s="22"/>
      <c r="T17" s="22"/>
      <c r="U17" s="22"/>
      <c r="V17" s="22"/>
      <c r="W17" s="23" t="n">
        <f aca="false">SUM(Q17:V17)</f>
        <v>0</v>
      </c>
      <c r="X17" s="24" t="str">
        <f aca="false">IF(COUNTA(Q17:V17)&gt;0,ROUND(W17/6,0),"")</f>
        <v/>
      </c>
    </row>
    <row r="18" customFormat="false" ht="19.5" hidden="true" customHeight="true" outlineLevel="0" collapsed="false">
      <c r="A18" s="27" t="n">
        <f aca="false">IF(B18&lt;&gt;"",ROW()-3,"")</f>
        <v>15</v>
      </c>
      <c r="B18" s="12" t="s">
        <v>52</v>
      </c>
      <c r="C18" s="13" t="s">
        <v>53</v>
      </c>
      <c r="D18" s="12" t="s">
        <v>54</v>
      </c>
      <c r="E18" s="13" t="s">
        <v>30</v>
      </c>
      <c r="F18" s="13" t="s">
        <v>57</v>
      </c>
      <c r="G18" s="15" t="n">
        <v>46125</v>
      </c>
      <c r="H18" s="13" t="n">
        <v>3000</v>
      </c>
      <c r="I18" s="15" t="n">
        <v>46237</v>
      </c>
      <c r="J18" s="13" t="n">
        <v>175</v>
      </c>
      <c r="K18" s="16" t="n">
        <f aca="false">G18+J18</f>
        <v>46300</v>
      </c>
      <c r="L18" s="17" t="n">
        <f aca="false">IF(AND(K18&lt;&gt;"",I18&lt;&gt;""),K18-I18,"")</f>
        <v>63</v>
      </c>
      <c r="M18" s="18"/>
      <c r="N18" s="18"/>
      <c r="O18" s="18"/>
      <c r="P18" s="18"/>
      <c r="Q18" s="22"/>
      <c r="R18" s="22"/>
      <c r="S18" s="22"/>
      <c r="T18" s="22"/>
      <c r="U18" s="22"/>
      <c r="V18" s="22"/>
      <c r="W18" s="23" t="n">
        <f aca="false">SUM(Q18:V18)</f>
        <v>0</v>
      </c>
      <c r="X18" s="24" t="str">
        <f aca="false">IF(COUNTA(Q18:V18)&gt;0,ROUND(W18/6,0),"")</f>
        <v/>
      </c>
    </row>
    <row r="19" customFormat="false" ht="19.5" hidden="true" customHeight="true" outlineLevel="0" collapsed="false">
      <c r="A19" s="27" t="n">
        <f aca="false">IF(B19&lt;&gt;"",ROW()-3,"")</f>
        <v>16</v>
      </c>
      <c r="B19" s="12" t="s">
        <v>58</v>
      </c>
      <c r="C19" s="13" t="s">
        <v>59</v>
      </c>
      <c r="D19" s="12" t="s">
        <v>60</v>
      </c>
      <c r="E19" s="13" t="s">
        <v>61</v>
      </c>
      <c r="F19" s="13" t="s">
        <v>62</v>
      </c>
      <c r="G19" s="15" t="n">
        <v>46092</v>
      </c>
      <c r="H19" s="13" t="n">
        <v>10000</v>
      </c>
      <c r="I19" s="15" t="n">
        <v>46204</v>
      </c>
      <c r="J19" s="13" t="n">
        <v>120</v>
      </c>
      <c r="K19" s="16" t="n">
        <f aca="false">G19+J19</f>
        <v>46212</v>
      </c>
      <c r="L19" s="17" t="n">
        <f aca="false">IF(AND(K19&lt;&gt;"",I19&lt;&gt;""),K19-I19,"")</f>
        <v>8</v>
      </c>
      <c r="M19" s="18"/>
      <c r="N19" s="18"/>
      <c r="O19" s="18"/>
      <c r="P19" s="18"/>
      <c r="Q19" s="22"/>
      <c r="R19" s="22"/>
      <c r="S19" s="22"/>
      <c r="T19" s="22"/>
      <c r="U19" s="22"/>
      <c r="V19" s="22"/>
      <c r="W19" s="23" t="n">
        <f aca="false">SUM(Q19:V19)</f>
        <v>0</v>
      </c>
      <c r="X19" s="24" t="str">
        <f aca="false">IF(COUNTA(Q19:V19)&gt;0,ROUND(W19/6,0),"")</f>
        <v/>
      </c>
    </row>
    <row r="20" customFormat="false" ht="19.5" hidden="true" customHeight="true" outlineLevel="0" collapsed="false">
      <c r="A20" s="27" t="n">
        <f aca="false">IF(B20&lt;&gt;"",ROW()-3,"")</f>
        <v>17</v>
      </c>
      <c r="B20" s="12" t="s">
        <v>58</v>
      </c>
      <c r="C20" s="13" t="s">
        <v>59</v>
      </c>
      <c r="D20" s="12" t="s">
        <v>60</v>
      </c>
      <c r="E20" s="13" t="s">
        <v>61</v>
      </c>
      <c r="F20" s="13" t="s">
        <v>63</v>
      </c>
      <c r="G20" s="15" t="n">
        <v>46097</v>
      </c>
      <c r="H20" s="13" t="n">
        <v>30000</v>
      </c>
      <c r="I20" s="15" t="n">
        <v>46174</v>
      </c>
      <c r="J20" s="13" t="n">
        <v>120</v>
      </c>
      <c r="K20" s="16" t="n">
        <f aca="false">G20+J20</f>
        <v>46217</v>
      </c>
      <c r="L20" s="17" t="n">
        <f aca="false">IF(AND(K20&lt;&gt;"",I20&lt;&gt;""),K20-I20,"")</f>
        <v>43</v>
      </c>
      <c r="M20" s="18"/>
      <c r="N20" s="18"/>
      <c r="O20" s="18"/>
      <c r="P20" s="18"/>
      <c r="Q20" s="22"/>
      <c r="R20" s="22"/>
      <c r="S20" s="22"/>
      <c r="T20" s="22"/>
      <c r="U20" s="22"/>
      <c r="V20" s="22"/>
      <c r="W20" s="23" t="n">
        <f aca="false">SUM(Q20:V20)</f>
        <v>0</v>
      </c>
      <c r="X20" s="24" t="str">
        <f aca="false">IF(COUNTA(Q20:V20)&gt;0,ROUND(W20/6,0),"")</f>
        <v/>
      </c>
    </row>
    <row r="21" customFormat="false" ht="19.5" hidden="true" customHeight="true" outlineLevel="0" collapsed="false">
      <c r="A21" s="27" t="n">
        <f aca="false">IF(B21&lt;&gt;"",ROW()-3,"")</f>
        <v>18</v>
      </c>
      <c r="B21" s="12" t="s">
        <v>58</v>
      </c>
      <c r="C21" s="13" t="s">
        <v>59</v>
      </c>
      <c r="D21" s="12" t="s">
        <v>60</v>
      </c>
      <c r="E21" s="13" t="s">
        <v>61</v>
      </c>
      <c r="F21" s="13" t="s">
        <v>64</v>
      </c>
      <c r="G21" s="15" t="n">
        <v>46097</v>
      </c>
      <c r="H21" s="13" t="n">
        <v>20000</v>
      </c>
      <c r="I21" s="15" t="n">
        <v>46122</v>
      </c>
      <c r="J21" s="13" t="n">
        <v>120</v>
      </c>
      <c r="K21" s="16" t="n">
        <f aca="false">G21+J21</f>
        <v>46217</v>
      </c>
      <c r="L21" s="17" t="n">
        <f aca="false">IF(AND(K21&lt;&gt;"",I21&lt;&gt;""),K21-I21,"")</f>
        <v>95</v>
      </c>
      <c r="M21" s="18"/>
      <c r="N21" s="18"/>
      <c r="O21" s="18"/>
      <c r="P21" s="18"/>
      <c r="Q21" s="22"/>
      <c r="R21" s="22"/>
      <c r="S21" s="22"/>
      <c r="T21" s="22"/>
      <c r="U21" s="22"/>
      <c r="V21" s="22"/>
      <c r="W21" s="23" t="n">
        <f aca="false">SUM(Q21:V21)</f>
        <v>0</v>
      </c>
      <c r="X21" s="24" t="str">
        <f aca="false">IF(COUNTA(Q21:V21)&gt;0,ROUND(W21/6,0),"")</f>
        <v/>
      </c>
    </row>
    <row r="22" customFormat="false" ht="19.5" hidden="true" customHeight="true" outlineLevel="0" collapsed="false">
      <c r="A22" s="27" t="n">
        <f aca="false">IF(B22&lt;&gt;"",ROW()-3,"")</f>
        <v>19</v>
      </c>
      <c r="B22" s="12" t="s">
        <v>58</v>
      </c>
      <c r="C22" s="13" t="s">
        <v>59</v>
      </c>
      <c r="D22" s="12" t="s">
        <v>60</v>
      </c>
      <c r="E22" s="13" t="s">
        <v>61</v>
      </c>
      <c r="F22" s="13" t="s">
        <v>65</v>
      </c>
      <c r="G22" s="15" t="n">
        <v>46097</v>
      </c>
      <c r="H22" s="13" t="n">
        <v>10000</v>
      </c>
      <c r="I22" s="15" t="n">
        <v>46122</v>
      </c>
      <c r="J22" s="13" t="n">
        <v>120</v>
      </c>
      <c r="K22" s="16" t="n">
        <f aca="false">G22+J22</f>
        <v>46217</v>
      </c>
      <c r="L22" s="17" t="n">
        <f aca="false">IF(AND(K22&lt;&gt;"",I22&lt;&gt;""),K22-I22,"")</f>
        <v>95</v>
      </c>
      <c r="M22" s="18"/>
      <c r="N22" s="18"/>
      <c r="O22" s="18"/>
      <c r="P22" s="18"/>
      <c r="Q22" s="22"/>
      <c r="R22" s="22"/>
      <c r="S22" s="22"/>
      <c r="T22" s="22"/>
      <c r="U22" s="22"/>
      <c r="V22" s="22"/>
      <c r="W22" s="23" t="n">
        <f aca="false">SUM(Q22:V22)</f>
        <v>0</v>
      </c>
      <c r="X22" s="24" t="str">
        <f aca="false">IF(COUNTA(Q22:V22)&gt;0,ROUND(W22/6,0),"")</f>
        <v/>
      </c>
    </row>
    <row r="23" customFormat="false" ht="19.5" hidden="true" customHeight="true" outlineLevel="0" collapsed="false">
      <c r="A23" s="27" t="n">
        <f aca="false">IF(B23&lt;&gt;"",ROW()-3,"")</f>
        <v>20</v>
      </c>
      <c r="B23" s="12" t="s">
        <v>58</v>
      </c>
      <c r="C23" s="13" t="s">
        <v>59</v>
      </c>
      <c r="D23" s="12" t="s">
        <v>60</v>
      </c>
      <c r="E23" s="13" t="s">
        <v>61</v>
      </c>
      <c r="F23" s="13" t="s">
        <v>66</v>
      </c>
      <c r="G23" s="15" t="n">
        <v>46125</v>
      </c>
      <c r="H23" s="13" t="n">
        <v>20000</v>
      </c>
      <c r="I23" s="15" t="n">
        <v>46156</v>
      </c>
      <c r="J23" s="13" t="n">
        <v>120</v>
      </c>
      <c r="K23" s="16" t="n">
        <f aca="false">G23+J23</f>
        <v>46245</v>
      </c>
      <c r="L23" s="17" t="n">
        <f aca="false">IF(AND(K23&lt;&gt;"",I23&lt;&gt;""),K23-I23,"")</f>
        <v>89</v>
      </c>
      <c r="M23" s="18"/>
      <c r="N23" s="18"/>
      <c r="O23" s="18"/>
      <c r="P23" s="18"/>
      <c r="Q23" s="22"/>
      <c r="R23" s="22"/>
      <c r="S23" s="22"/>
      <c r="T23" s="22"/>
      <c r="U23" s="22"/>
      <c r="V23" s="22"/>
      <c r="W23" s="23" t="n">
        <f aca="false">SUM(Q23:V23)</f>
        <v>0</v>
      </c>
      <c r="X23" s="24" t="str">
        <f aca="false">IF(COUNTA(Q23:V23)&gt;0,ROUND(W23/6,0),"")</f>
        <v/>
      </c>
    </row>
    <row r="24" customFormat="false" ht="19.5" hidden="true" customHeight="true" outlineLevel="0" collapsed="false">
      <c r="A24" s="27" t="n">
        <f aca="false">IF(B24&lt;&gt;"",ROW()-3,"")</f>
        <v>21</v>
      </c>
      <c r="B24" s="12" t="s">
        <v>58</v>
      </c>
      <c r="C24" s="13" t="s">
        <v>59</v>
      </c>
      <c r="D24" s="12" t="s">
        <v>60</v>
      </c>
      <c r="E24" s="13" t="s">
        <v>61</v>
      </c>
      <c r="F24" s="13" t="s">
        <v>67</v>
      </c>
      <c r="G24" s="15" t="n">
        <v>46125</v>
      </c>
      <c r="H24" s="13" t="n">
        <v>10000</v>
      </c>
      <c r="I24" s="15" t="n">
        <v>46164</v>
      </c>
      <c r="J24" s="13" t="n">
        <v>120</v>
      </c>
      <c r="K24" s="16" t="n">
        <f aca="false">G24+J24</f>
        <v>46245</v>
      </c>
      <c r="L24" s="17" t="n">
        <f aca="false">IF(AND(K24&lt;&gt;"",I24&lt;&gt;""),K24-I24,"")</f>
        <v>81</v>
      </c>
      <c r="M24" s="18"/>
      <c r="N24" s="18"/>
      <c r="O24" s="18"/>
      <c r="P24" s="18"/>
      <c r="Q24" s="22"/>
      <c r="R24" s="22"/>
      <c r="S24" s="22"/>
      <c r="T24" s="22"/>
      <c r="U24" s="22"/>
      <c r="V24" s="22"/>
      <c r="W24" s="23" t="n">
        <f aca="false">SUM(Q24:V24)</f>
        <v>0</v>
      </c>
      <c r="X24" s="24" t="str">
        <f aca="false">IF(COUNTA(Q24:V24)&gt;0,ROUND(W24/6,0),"")</f>
        <v/>
      </c>
    </row>
    <row r="25" customFormat="false" ht="19.5" hidden="true" customHeight="true" outlineLevel="0" collapsed="false">
      <c r="A25" s="27" t="n">
        <f aca="false">IF(B25&lt;&gt;"",ROW()-3,"")</f>
        <v>22</v>
      </c>
      <c r="B25" s="12" t="s">
        <v>58</v>
      </c>
      <c r="C25" s="13" t="s">
        <v>59</v>
      </c>
      <c r="D25" s="12" t="s">
        <v>60</v>
      </c>
      <c r="E25" s="13" t="s">
        <v>61</v>
      </c>
      <c r="F25" s="13" t="s">
        <v>68</v>
      </c>
      <c r="G25" s="15" t="n">
        <v>46125</v>
      </c>
      <c r="H25" s="13" t="n">
        <v>20000</v>
      </c>
      <c r="I25" s="15" t="n">
        <v>46227</v>
      </c>
      <c r="J25" s="13" t="n">
        <v>120</v>
      </c>
      <c r="K25" s="16" t="n">
        <f aca="false">G25+J25</f>
        <v>46245</v>
      </c>
      <c r="L25" s="17" t="n">
        <f aca="false">IF(AND(K25&lt;&gt;"",I25&lt;&gt;""),K25-I25,"")</f>
        <v>18</v>
      </c>
      <c r="M25" s="18"/>
      <c r="N25" s="18"/>
      <c r="O25" s="18"/>
      <c r="P25" s="18"/>
      <c r="Q25" s="22"/>
      <c r="R25" s="22"/>
      <c r="S25" s="22"/>
      <c r="T25" s="22"/>
      <c r="U25" s="22"/>
      <c r="V25" s="22"/>
      <c r="W25" s="23" t="n">
        <f aca="false">SUM(Q25:V25)</f>
        <v>0</v>
      </c>
      <c r="X25" s="24" t="str">
        <f aca="false">IF(COUNTA(Q25:V25)&gt;0,ROUND(W25/6,0),"")</f>
        <v/>
      </c>
    </row>
    <row r="26" customFormat="false" ht="19.5" hidden="true" customHeight="true" outlineLevel="0" collapsed="false">
      <c r="A26" s="27" t="n">
        <f aca="false">IF(B26&lt;&gt;"",ROW()-3,"")</f>
        <v>23</v>
      </c>
      <c r="B26" s="12" t="s">
        <v>58</v>
      </c>
      <c r="C26" s="13" t="s">
        <v>59</v>
      </c>
      <c r="D26" s="12" t="s">
        <v>60</v>
      </c>
      <c r="E26" s="13" t="s">
        <v>61</v>
      </c>
      <c r="F26" s="13" t="s">
        <v>69</v>
      </c>
      <c r="G26" s="15" t="n">
        <v>46125</v>
      </c>
      <c r="H26" s="13" t="n">
        <v>30000</v>
      </c>
      <c r="I26" s="15" t="n">
        <v>46198</v>
      </c>
      <c r="J26" s="13" t="n">
        <v>120</v>
      </c>
      <c r="K26" s="16" t="n">
        <f aca="false">G26+J26</f>
        <v>46245</v>
      </c>
      <c r="L26" s="17" t="n">
        <f aca="false">IF(AND(K26&lt;&gt;"",I26&lt;&gt;""),K26-I26,"")</f>
        <v>47</v>
      </c>
      <c r="M26" s="18"/>
      <c r="N26" s="18"/>
      <c r="O26" s="18"/>
      <c r="P26" s="18"/>
      <c r="Q26" s="22"/>
      <c r="R26" s="22"/>
      <c r="S26" s="22"/>
      <c r="T26" s="22"/>
      <c r="U26" s="22"/>
      <c r="V26" s="22"/>
      <c r="W26" s="23" t="n">
        <f aca="false">SUM(Q26:V26)</f>
        <v>0</v>
      </c>
      <c r="X26" s="24" t="str">
        <f aca="false">IF(COUNTA(Q26:V26)&gt;0,ROUND(W26/6,0),"")</f>
        <v/>
      </c>
    </row>
    <row r="27" customFormat="false" ht="19.5" hidden="true" customHeight="true" outlineLevel="0" collapsed="false">
      <c r="A27" s="27" t="n">
        <f aca="false">IF(B27&lt;&gt;"",ROW()-3,"")</f>
        <v>24</v>
      </c>
      <c r="B27" s="12" t="s">
        <v>58</v>
      </c>
      <c r="C27" s="13" t="s">
        <v>59</v>
      </c>
      <c r="D27" s="12" t="s">
        <v>60</v>
      </c>
      <c r="E27" s="13" t="s">
        <v>61</v>
      </c>
      <c r="F27" s="13" t="s">
        <v>70</v>
      </c>
      <c r="G27" s="15" t="n">
        <v>46125</v>
      </c>
      <c r="H27" s="13" t="n">
        <v>30000</v>
      </c>
      <c r="I27" s="15" t="n">
        <v>46254</v>
      </c>
      <c r="J27" s="13" t="n">
        <v>120</v>
      </c>
      <c r="K27" s="16" t="n">
        <f aca="false">G27+J27</f>
        <v>46245</v>
      </c>
      <c r="L27" s="17" t="n">
        <f aca="false">IF(AND(K27&lt;&gt;"",I27&lt;&gt;""),K27-I27,"")</f>
        <v>-9</v>
      </c>
      <c r="M27" s="18"/>
      <c r="N27" s="18"/>
      <c r="O27" s="18"/>
      <c r="P27" s="18"/>
      <c r="Q27" s="22"/>
      <c r="R27" s="22"/>
      <c r="S27" s="22"/>
      <c r="T27" s="22"/>
      <c r="U27" s="22"/>
      <c r="V27" s="22"/>
      <c r="W27" s="23" t="n">
        <f aca="false">SUM(Q27:V27)</f>
        <v>0</v>
      </c>
      <c r="X27" s="24" t="str">
        <f aca="false">IF(COUNTA(Q27:V27)&gt;0,ROUND(W27/6,0),"")</f>
        <v/>
      </c>
    </row>
    <row r="28" customFormat="false" ht="19.5" hidden="false" customHeight="true" outlineLevel="0" collapsed="false">
      <c r="A28" s="27" t="n">
        <f aca="false">IF(B28&lt;&gt;"",ROW()-3,"")</f>
        <v>25</v>
      </c>
      <c r="B28" s="12" t="s">
        <v>58</v>
      </c>
      <c r="C28" s="13" t="s">
        <v>59</v>
      </c>
      <c r="D28" s="12" t="s">
        <v>60</v>
      </c>
      <c r="E28" s="13" t="s">
        <v>61</v>
      </c>
      <c r="F28" s="13" t="s">
        <v>71</v>
      </c>
      <c r="G28" s="15" t="n">
        <v>46125</v>
      </c>
      <c r="H28" s="13" t="n">
        <v>10000</v>
      </c>
      <c r="I28" s="15" t="n">
        <v>46296</v>
      </c>
      <c r="J28" s="13" t="n">
        <v>120</v>
      </c>
      <c r="K28" s="16" t="n">
        <f aca="false">G28+J28</f>
        <v>46245</v>
      </c>
      <c r="L28" s="17" t="n">
        <f aca="false">IF(AND(K28&lt;&gt;"",I28&lt;&gt;""),K28-I28,"")</f>
        <v>-51</v>
      </c>
      <c r="M28" s="18"/>
      <c r="N28" s="18"/>
      <c r="O28" s="18"/>
      <c r="P28" s="18"/>
      <c r="Q28" s="22"/>
      <c r="R28" s="22"/>
      <c r="S28" s="22"/>
      <c r="T28" s="22"/>
      <c r="U28" s="22"/>
      <c r="V28" s="22"/>
      <c r="W28" s="23" t="n">
        <f aca="false">SUM(Q28:V28)</f>
        <v>0</v>
      </c>
      <c r="X28" s="24" t="str">
        <f aca="false">IF(COUNTA(Q28:V28)&gt;0,ROUND(W28/6,0),"")</f>
        <v/>
      </c>
    </row>
    <row r="29" customFormat="false" ht="7.5" hidden="false" customHeight="true" outlineLevel="0" collapsed="false">
      <c r="A29" s="29"/>
      <c r="B29" s="30"/>
      <c r="C29" s="29"/>
      <c r="D29" s="30"/>
      <c r="E29" s="29"/>
      <c r="F29" s="29"/>
      <c r="G29" s="29"/>
      <c r="H29" s="29"/>
      <c r="I29" s="29"/>
      <c r="J29" s="29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customFormat="false" ht="24" hidden="false" customHeight="true" outlineLevel="0" collapsed="false">
      <c r="A30" s="31" t="s">
        <v>72</v>
      </c>
      <c r="B30" s="30"/>
      <c r="C30" s="29"/>
      <c r="D30" s="30"/>
      <c r="E30" s="6" t="s">
        <v>73</v>
      </c>
      <c r="F30" s="6" t="s">
        <v>74</v>
      </c>
      <c r="G30" s="6" t="s">
        <v>75</v>
      </c>
      <c r="H30" s="6" t="s">
        <v>76</v>
      </c>
      <c r="I30" s="6" t="s">
        <v>77</v>
      </c>
      <c r="J30" s="6"/>
      <c r="K30" s="6" t="s">
        <v>78</v>
      </c>
      <c r="L30" s="30"/>
      <c r="M30" s="30"/>
      <c r="N30" s="30"/>
      <c r="O30" s="30"/>
      <c r="P30" s="30"/>
      <c r="Q30" s="32" t="s">
        <v>79</v>
      </c>
      <c r="R30" s="32" t="s">
        <v>80</v>
      </c>
      <c r="S30" s="32" t="s">
        <v>81</v>
      </c>
      <c r="T30" s="32" t="s">
        <v>82</v>
      </c>
      <c r="U30" s="32" t="s">
        <v>83</v>
      </c>
      <c r="V30" s="32" t="s">
        <v>84</v>
      </c>
      <c r="W30" s="32" t="s">
        <v>85</v>
      </c>
      <c r="X30" s="33" t="s">
        <v>86</v>
      </c>
    </row>
    <row r="31" customFormat="false" ht="25.5" hidden="false" customHeight="true" outlineLevel="0" collapsed="false">
      <c r="A31" s="29"/>
      <c r="B31" s="30"/>
      <c r="C31" s="29"/>
      <c r="D31" s="30"/>
      <c r="E31" s="34" t="n">
        <f aca="false">COUNTA(B4:B28)</f>
        <v>25</v>
      </c>
      <c r="F31" s="34"/>
      <c r="G31" s="34"/>
      <c r="H31" s="34"/>
      <c r="I31" s="34"/>
      <c r="J31" s="34"/>
      <c r="K31" s="34"/>
      <c r="L31" s="30"/>
      <c r="M31" s="30"/>
      <c r="N31" s="30"/>
      <c r="O31" s="30"/>
      <c r="P31" s="30"/>
      <c r="Q31" s="35" t="n">
        <f aca="false">SUM(Q4:Q28)</f>
        <v>0</v>
      </c>
      <c r="R31" s="35" t="n">
        <f aca="false">SUM(R4:R28)</f>
        <v>0</v>
      </c>
      <c r="S31" s="35" t="n">
        <f aca="false">SUM(S4:S28)</f>
        <v>0</v>
      </c>
      <c r="T31" s="35" t="n">
        <f aca="false">SUM(T4:T28)</f>
        <v>0</v>
      </c>
      <c r="U31" s="35" t="n">
        <f aca="false">SUM(U4:U28)</f>
        <v>0</v>
      </c>
      <c r="V31" s="35" t="n">
        <f aca="false">SUM(V4:V28)</f>
        <v>0</v>
      </c>
      <c r="W31" s="35" t="n">
        <f aca="false">SUM(W4:W28)</f>
        <v>0</v>
      </c>
      <c r="X31" s="35" t="n">
        <f aca="false">SUM(X4:X28)</f>
        <v>0</v>
      </c>
    </row>
  </sheetData>
  <autoFilter ref="A3:AA28">
    <filterColumn colId="3">
      <filters>
        <filter val="VN0057"/>
      </filters>
    </filterColumn>
    <filterColumn colId="8">
      <filters>
        <dateGroupItem year="2026" month="10" day="01" dateTimeGrouping="day"/>
      </filters>
    </filterColumn>
  </autoFilter>
  <mergeCells count="3">
    <mergeCell ref="A1:X1"/>
    <mergeCell ref="A2:F2"/>
    <mergeCell ref="G2:X2"/>
  </mergeCells>
  <conditionalFormatting sqref="L4:L28">
    <cfRule type="expression" priority="2" aboveAverage="0" equalAverage="0" bottom="0" percent="0" rank="0" text="" dxfId="8">
      <formula>AND(L4&lt;&gt;"",L4&lt;0)</formula>
    </cfRule>
    <cfRule type="expression" priority="3" aboveAverage="0" equalAverage="0" bottom="0" percent="0" rank="0" text="" dxfId="9">
      <formula>AND(L4&lt;&gt;"",L4&gt;=0)</formula>
    </cfRule>
  </conditionalFormatting>
  <conditionalFormatting sqref="Q4:V28">
    <cfRule type="expression" priority="4" aboveAverage="0" equalAverage="0" bottom="0" percent="0" rank="0" text="" dxfId="10">
      <formula>AND(Q4&gt;0,COUNTIFS(#ref!,"已下單")=0)</formula>
    </cfRule>
  </conditionalFormatting>
  <conditionalFormatting sqref="A4:P28">
    <cfRule type="expression" priority="5" aboveAverage="0" equalAverage="0" bottom="0" percent="0" rank="0" text="" dxfId="11">
      <formula>#ref!="已延誤"</formula>
    </cfRule>
    <cfRule type="expression" priority="6" aboveAverage="0" equalAverage="0" bottom="0" percent="0" rank="0" text="" dxfId="12">
      <formula>#ref!="延誤風險"</formula>
    </cfRule>
    <cfRule type="expression" priority="7" aboveAverage="0" equalAverage="0" bottom="0" percent="0" rank="0" text="" dxfId="13">
      <formula>#ref!="已交貨"</formula>
    </cfRule>
  </conditionalFormatting>
  <dataValidations count="1">
    <dataValidation allowBlank="true" error="請輸入整數數量（pcs）" errorStyle="stop" errorTitle="格式錯誤" operator="greaterThanOrEqual" prompt="請填入客戶預測用量（單位：pcs），若無需求請留空" promptTitle="填寫說明" showDropDown="false" showErrorMessage="true" showInputMessage="true" sqref="Q4:V28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E13" activeCellId="0" sqref="E13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2" width="2"/>
    <col collapsed="false" customWidth="true" hidden="false" outlineLevel="0" max="2" min="2" style="2" width="18"/>
    <col collapsed="false" customWidth="true" hidden="false" outlineLevel="0" max="3" min="3" style="2" width="21.18"/>
    <col collapsed="false" customWidth="true" hidden="false" outlineLevel="0" max="4" min="4" style="2" width="14"/>
    <col collapsed="false" customWidth="true" hidden="false" outlineLevel="0" max="11" min="5" style="2" width="12"/>
    <col collapsed="false" customWidth="true" hidden="false" outlineLevel="0" max="12" min="12" style="2" width="2"/>
  </cols>
  <sheetData>
    <row r="1" customFormat="false" ht="9.75" hidden="false" customHeight="true" outlineLevel="0" collapsed="false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9.5" hidden="false" customHeight="true" outlineLevel="0" collapsed="false">
      <c r="A2" s="30"/>
      <c r="B2" s="36" t="s">
        <v>87</v>
      </c>
      <c r="C2" s="36"/>
      <c r="D2" s="36"/>
      <c r="E2" s="36"/>
      <c r="F2" s="36"/>
      <c r="G2" s="36"/>
      <c r="H2" s="36"/>
      <c r="I2" s="36"/>
      <c r="J2" s="36"/>
      <c r="K2" s="36"/>
    </row>
    <row r="3" customFormat="false" ht="27.75" hidden="false" customHeight="true" outlineLevel="0" collapsed="false">
      <c r="A3" s="30"/>
      <c r="B3" s="37" t="s">
        <v>88</v>
      </c>
      <c r="C3" s="37"/>
      <c r="D3" s="37"/>
      <c r="E3" s="37"/>
      <c r="F3" s="37"/>
      <c r="G3" s="37"/>
      <c r="H3" s="37"/>
      <c r="I3" s="37"/>
      <c r="J3" s="37"/>
      <c r="K3" s="37"/>
    </row>
    <row r="4" customFormat="false" ht="6" hidden="false" customHeight="true" outlineLevel="0" collapsed="false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</row>
    <row r="5" customFormat="false" ht="21.75" hidden="false" customHeight="true" outlineLevel="0" collapsed="false">
      <c r="A5" s="30"/>
      <c r="B5" s="38" t="s">
        <v>89</v>
      </c>
      <c r="C5" s="38"/>
      <c r="D5" s="38"/>
      <c r="E5" s="38"/>
      <c r="F5" s="38"/>
      <c r="G5" s="38"/>
      <c r="H5" s="38"/>
      <c r="I5" s="38"/>
      <c r="J5" s="38"/>
      <c r="K5" s="38"/>
    </row>
    <row r="6" customFormat="false" ht="19.5" hidden="false" customHeight="true" outlineLevel="0" collapsed="false">
      <c r="A6" s="30"/>
      <c r="B6" s="39" t="s">
        <v>90</v>
      </c>
      <c r="C6" s="39"/>
      <c r="D6" s="39"/>
      <c r="E6" s="39"/>
      <c r="F6" s="39"/>
      <c r="G6" s="39"/>
      <c r="H6" s="39"/>
      <c r="I6" s="39"/>
      <c r="J6" s="39"/>
      <c r="K6" s="39"/>
    </row>
    <row r="7" customFormat="false" ht="19.5" hidden="false" customHeight="true" outlineLevel="0" collapsed="false">
      <c r="A7" s="30"/>
      <c r="B7" s="39" t="s">
        <v>91</v>
      </c>
      <c r="C7" s="39"/>
      <c r="D7" s="39"/>
      <c r="E7" s="39"/>
      <c r="F7" s="39"/>
      <c r="G7" s="39"/>
      <c r="H7" s="39"/>
      <c r="I7" s="39"/>
      <c r="J7" s="39"/>
      <c r="K7" s="39"/>
    </row>
    <row r="8" customFormat="false" ht="19.5" hidden="false" customHeight="true" outlineLevel="0" collapsed="false">
      <c r="A8" s="30"/>
      <c r="B8" s="40" t="s">
        <v>92</v>
      </c>
      <c r="C8" s="40"/>
      <c r="D8" s="40"/>
      <c r="E8" s="40"/>
      <c r="F8" s="40"/>
      <c r="G8" s="40"/>
      <c r="H8" s="40"/>
      <c r="I8" s="40"/>
      <c r="J8" s="40"/>
      <c r="K8" s="40"/>
    </row>
    <row r="9" customFormat="false" ht="7.5" hidden="false" customHeight="true" outlineLevel="0" collapsed="false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</row>
    <row r="10" customFormat="false" ht="19.5" hidden="false" customHeight="true" outlineLevel="0" collapsed="false">
      <c r="A10" s="30"/>
      <c r="B10" s="41" t="s">
        <v>93</v>
      </c>
      <c r="C10" s="41"/>
      <c r="D10" s="41"/>
      <c r="E10" s="42" t="s">
        <v>94</v>
      </c>
      <c r="F10" s="42"/>
      <c r="G10" s="42"/>
      <c r="H10" s="42"/>
      <c r="I10" s="42"/>
      <c r="J10" s="42"/>
      <c r="K10" s="43"/>
    </row>
    <row r="11" customFormat="false" ht="31.5" hidden="false" customHeight="true" outlineLevel="0" collapsed="false">
      <c r="A11" s="30"/>
      <c r="B11" s="44" t="s">
        <v>95</v>
      </c>
      <c r="C11" s="44" t="s">
        <v>96</v>
      </c>
      <c r="D11" s="45" t="s">
        <v>6</v>
      </c>
      <c r="E11" s="46" t="s">
        <v>97</v>
      </c>
      <c r="F11" s="46" t="s">
        <v>98</v>
      </c>
      <c r="G11" s="46" t="s">
        <v>99</v>
      </c>
      <c r="H11" s="46" t="s">
        <v>100</v>
      </c>
      <c r="I11" s="46" t="s">
        <v>101</v>
      </c>
      <c r="J11" s="46" t="s">
        <v>102</v>
      </c>
      <c r="K11" s="44" t="s">
        <v>103</v>
      </c>
    </row>
    <row r="12" customFormat="false" ht="24" hidden="false" customHeight="true" outlineLevel="0" collapsed="false">
      <c r="A12" s="30"/>
      <c r="B12" s="47" t="s">
        <v>39</v>
      </c>
      <c r="C12" s="47" t="s">
        <v>40</v>
      </c>
      <c r="D12" s="47" t="n">
        <v>269438</v>
      </c>
      <c r="E12" s="48"/>
      <c r="F12" s="48"/>
      <c r="G12" s="48"/>
      <c r="H12" s="48"/>
      <c r="I12" s="48"/>
      <c r="J12" s="48"/>
      <c r="K12" s="49" t="n">
        <f aca="false">SUM(E12:J12)</f>
        <v>0</v>
      </c>
    </row>
    <row r="13" customFormat="false" ht="24" hidden="false" customHeight="true" outlineLevel="0" collapsed="false">
      <c r="A13" s="30"/>
      <c r="B13" s="47" t="s">
        <v>33</v>
      </c>
      <c r="C13" s="47" t="s">
        <v>34</v>
      </c>
      <c r="D13" s="47" t="n">
        <v>225686</v>
      </c>
      <c r="E13" s="50"/>
      <c r="F13" s="50"/>
      <c r="G13" s="50"/>
      <c r="H13" s="50"/>
      <c r="I13" s="50"/>
      <c r="J13" s="50"/>
      <c r="K13" s="49" t="n">
        <f aca="false">SUM(E13:J13)</f>
        <v>0</v>
      </c>
    </row>
    <row r="14" customFormat="false" ht="24" hidden="false" customHeight="true" outlineLevel="0" collapsed="false">
      <c r="A14" s="30"/>
      <c r="B14" s="47" t="s">
        <v>52</v>
      </c>
      <c r="C14" s="47" t="s">
        <v>53</v>
      </c>
      <c r="D14" s="47" t="n">
        <v>689046</v>
      </c>
      <c r="E14" s="48"/>
      <c r="F14" s="48"/>
      <c r="G14" s="48"/>
      <c r="H14" s="48"/>
      <c r="I14" s="48"/>
      <c r="J14" s="48"/>
      <c r="K14" s="49" t="n">
        <f aca="false">SUM(E14:J14)</f>
        <v>0</v>
      </c>
    </row>
    <row r="15" customFormat="false" ht="24" hidden="false" customHeight="true" outlineLevel="0" collapsed="false">
      <c r="A15" s="30"/>
      <c r="B15" s="47" t="s">
        <v>48</v>
      </c>
      <c r="C15" s="47" t="s">
        <v>49</v>
      </c>
      <c r="D15" s="47" t="n">
        <v>395620</v>
      </c>
      <c r="E15" s="50"/>
      <c r="F15" s="50"/>
      <c r="G15" s="50"/>
      <c r="H15" s="50"/>
      <c r="I15" s="50"/>
      <c r="J15" s="50"/>
      <c r="K15" s="49" t="n">
        <f aca="false">SUM(E15:J15)</f>
        <v>0</v>
      </c>
    </row>
    <row r="16" customFormat="false" ht="24" hidden="false" customHeight="true" outlineLevel="0" collapsed="false">
      <c r="A16" s="30"/>
      <c r="B16" s="47" t="s">
        <v>58</v>
      </c>
      <c r="C16" s="47" t="s">
        <v>59</v>
      </c>
      <c r="D16" s="47" t="s">
        <v>60</v>
      </c>
      <c r="E16" s="48"/>
      <c r="F16" s="48"/>
      <c r="G16" s="48"/>
      <c r="H16" s="48"/>
      <c r="I16" s="48"/>
      <c r="J16" s="48"/>
      <c r="K16" s="49" t="n">
        <f aca="false">SUM(E16:J16)</f>
        <v>0</v>
      </c>
    </row>
    <row r="17" customFormat="false" ht="24" hidden="false" customHeight="true" outlineLevel="0" collapsed="false">
      <c r="A17" s="30"/>
      <c r="B17" s="47" t="s">
        <v>27</v>
      </c>
      <c r="C17" s="47" t="s">
        <v>28</v>
      </c>
      <c r="D17" s="47" t="n">
        <v>174828</v>
      </c>
      <c r="E17" s="48"/>
      <c r="F17" s="48"/>
      <c r="G17" s="48"/>
      <c r="H17" s="48"/>
      <c r="I17" s="48"/>
      <c r="J17" s="48"/>
      <c r="K17" s="49" t="str">
        <f aca="false">IF(COUNTA(E17:J17)&gt;0,SUM(E17:J17),"")</f>
        <v/>
      </c>
    </row>
    <row r="18" customFormat="false" ht="24" hidden="false" customHeight="true" outlineLevel="0" collapsed="false">
      <c r="A18" s="30"/>
      <c r="B18" s="51"/>
      <c r="C18" s="51"/>
      <c r="D18" s="51"/>
      <c r="E18" s="50"/>
      <c r="F18" s="50"/>
      <c r="G18" s="50"/>
      <c r="H18" s="50"/>
      <c r="I18" s="50"/>
      <c r="J18" s="50"/>
      <c r="K18" s="49" t="str">
        <f aca="false">IF(COUNTA(E18:J18)&gt;0,SUM(E18:J18),"")</f>
        <v/>
      </c>
    </row>
    <row r="19" customFormat="false" ht="24" hidden="false" customHeight="true" outlineLevel="0" collapsed="false">
      <c r="A19" s="30"/>
      <c r="B19" s="52"/>
      <c r="C19" s="52"/>
      <c r="D19" s="52"/>
      <c r="E19" s="48"/>
      <c r="F19" s="48"/>
      <c r="G19" s="48"/>
      <c r="H19" s="48"/>
      <c r="I19" s="48"/>
      <c r="J19" s="48"/>
      <c r="K19" s="49" t="str">
        <f aca="false">IF(COUNTA(E19:J19)&gt;0,SUM(E19:J19),"")</f>
        <v/>
      </c>
    </row>
    <row r="20" customFormat="false" ht="24" hidden="false" customHeight="true" outlineLevel="0" collapsed="false">
      <c r="A20" s="30"/>
      <c r="B20" s="51"/>
      <c r="C20" s="51"/>
      <c r="D20" s="51"/>
      <c r="E20" s="50"/>
      <c r="F20" s="50"/>
      <c r="G20" s="50"/>
      <c r="H20" s="50"/>
      <c r="I20" s="50"/>
      <c r="J20" s="50"/>
      <c r="K20" s="49" t="str">
        <f aca="false">IF(COUNTA(E20:J20)&gt;0,SUM(E20:J20),"")</f>
        <v/>
      </c>
    </row>
    <row r="21" customFormat="false" ht="24" hidden="false" customHeight="true" outlineLevel="0" collapsed="false">
      <c r="A21" s="30"/>
      <c r="B21" s="52"/>
      <c r="C21" s="52"/>
      <c r="D21" s="52"/>
      <c r="E21" s="48"/>
      <c r="F21" s="48"/>
      <c r="G21" s="48"/>
      <c r="H21" s="48"/>
      <c r="I21" s="48"/>
      <c r="J21" s="48"/>
      <c r="K21" s="49" t="str">
        <f aca="false">IF(COUNTA(E21:J21)&gt;0,SUM(E21:J21),"")</f>
        <v/>
      </c>
    </row>
    <row r="22" customFormat="false" ht="24" hidden="false" customHeight="true" outlineLevel="0" collapsed="false">
      <c r="A22" s="30"/>
      <c r="B22" s="51"/>
      <c r="C22" s="51"/>
      <c r="D22" s="51"/>
      <c r="E22" s="50"/>
      <c r="F22" s="50"/>
      <c r="G22" s="50"/>
      <c r="H22" s="50"/>
      <c r="I22" s="50"/>
      <c r="J22" s="50"/>
      <c r="K22" s="49" t="str">
        <f aca="false">IF(COUNTA(E22:J22)&gt;0,SUM(E22:J22),"")</f>
        <v/>
      </c>
    </row>
    <row r="23" customFormat="false" ht="24" hidden="false" customHeight="true" outlineLevel="0" collapsed="false">
      <c r="A23" s="30"/>
      <c r="B23" s="52"/>
      <c r="C23" s="52"/>
      <c r="D23" s="52"/>
      <c r="E23" s="48"/>
      <c r="F23" s="48"/>
      <c r="G23" s="48"/>
      <c r="H23" s="48"/>
      <c r="I23" s="48"/>
      <c r="J23" s="48"/>
      <c r="K23" s="49" t="str">
        <f aca="false">IF(COUNTA(E23:J23)&gt;0,SUM(E23:J23),"")</f>
        <v/>
      </c>
    </row>
    <row r="24" customFormat="false" ht="24" hidden="false" customHeight="true" outlineLevel="0" collapsed="false">
      <c r="A24" s="30"/>
      <c r="B24" s="51"/>
      <c r="C24" s="51"/>
      <c r="D24" s="51"/>
      <c r="E24" s="50"/>
      <c r="F24" s="50"/>
      <c r="G24" s="50"/>
      <c r="H24" s="50"/>
      <c r="I24" s="50"/>
      <c r="J24" s="50"/>
      <c r="K24" s="49" t="str">
        <f aca="false">IF(COUNTA(E24:J24)&gt;0,SUM(E24:J24),"")</f>
        <v/>
      </c>
    </row>
    <row r="25" customFormat="false" ht="24" hidden="false" customHeight="true" outlineLevel="0" collapsed="false">
      <c r="A25" s="30"/>
      <c r="B25" s="52"/>
      <c r="C25" s="52"/>
      <c r="D25" s="52"/>
      <c r="E25" s="48"/>
      <c r="F25" s="48"/>
      <c r="G25" s="48"/>
      <c r="H25" s="48"/>
      <c r="I25" s="48"/>
      <c r="J25" s="48"/>
      <c r="K25" s="49" t="str">
        <f aca="false">IF(COUNTA(E25:J25)&gt;0,SUM(E25:J25),"")</f>
        <v/>
      </c>
    </row>
    <row r="26" customFormat="false" ht="24" hidden="false" customHeight="true" outlineLevel="0" collapsed="false">
      <c r="A26" s="30"/>
      <c r="B26" s="51"/>
      <c r="C26" s="51"/>
      <c r="D26" s="51"/>
      <c r="E26" s="50"/>
      <c r="F26" s="50"/>
      <c r="G26" s="50"/>
      <c r="H26" s="50"/>
      <c r="I26" s="50"/>
      <c r="J26" s="50"/>
      <c r="K26" s="49" t="str">
        <f aca="false">IF(COUNTA(E26:J26)&gt;0,SUM(E26:J26),"")</f>
        <v/>
      </c>
    </row>
    <row r="27" customFormat="false" ht="7.5" hidden="false" customHeight="true" outlineLevel="0" collapsed="false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customFormat="false" ht="27.75" hidden="false" customHeight="true" outlineLevel="0" collapsed="false">
      <c r="A28" s="30"/>
      <c r="B28" s="53" t="s">
        <v>104</v>
      </c>
      <c r="C28" s="53"/>
      <c r="D28" s="53"/>
      <c r="E28" s="54" t="n">
        <f aca="false">SUM(E12:E26)</f>
        <v>0</v>
      </c>
      <c r="F28" s="54" t="n">
        <f aca="false">SUM(F12:F26)</f>
        <v>0</v>
      </c>
      <c r="G28" s="54" t="n">
        <f aca="false">SUM(G12:G26)</f>
        <v>0</v>
      </c>
      <c r="H28" s="54" t="n">
        <f aca="false">SUM(H12:H26)</f>
        <v>0</v>
      </c>
      <c r="I28" s="54" t="n">
        <f aca="false">SUM(I12:I26)</f>
        <v>0</v>
      </c>
      <c r="J28" s="54" t="n">
        <f aca="false">SUM(J12:J26)</f>
        <v>0</v>
      </c>
      <c r="K28" s="54" t="n">
        <f aca="false">SUM(K12:K26)</f>
        <v>0</v>
      </c>
    </row>
    <row r="29" customFormat="false" ht="7.5" hidden="false" customHeight="tru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customFormat="false" ht="30" hidden="false" customHeight="true" outlineLevel="0" collapsed="false">
      <c r="A30" s="30"/>
      <c r="B30" s="55" t="s">
        <v>105</v>
      </c>
      <c r="C30" s="55"/>
      <c r="D30" s="55"/>
      <c r="E30" s="55"/>
      <c r="F30" s="55"/>
      <c r="G30" s="55"/>
      <c r="H30" s="55"/>
      <c r="I30" s="55"/>
      <c r="J30" s="55"/>
      <c r="K30" s="55"/>
    </row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</sheetData>
  <mergeCells count="10">
    <mergeCell ref="B2:K2"/>
    <mergeCell ref="B3:K3"/>
    <mergeCell ref="B5:K5"/>
    <mergeCell ref="B6:K6"/>
    <mergeCell ref="B7:K7"/>
    <mergeCell ref="B8:K8"/>
    <mergeCell ref="B10:D10"/>
    <mergeCell ref="E10:J10"/>
    <mergeCell ref="B28:D28"/>
    <mergeCell ref="B30:K30"/>
  </mergeCells>
  <conditionalFormatting sqref="B12:D17">
    <cfRule type="expression" priority="2" aboveAverage="0" equalAverage="0" bottom="0" percent="0" rank="0" text="" dxfId="14">
      <formula>$H12="✅ 準時交貨"</formula>
    </cfRule>
    <cfRule type="expression" priority="3" aboveAverage="0" equalAverage="0" bottom="0" percent="0" rank="0" text="" dxfId="15">
      <formula>$H12="⚠️ 輕微延誤"</formula>
    </cfRule>
    <cfRule type="expression" priority="4" aboveAverage="0" equalAverage="0" bottom="0" percent="0" rank="0" text="" dxfId="16">
      <formula>$H12="🔴 建議Pull-in"</formula>
    </cfRule>
    <cfRule type="expression" priority="5" aboveAverage="0" equalAverage="0" bottom="0" percent="0" rank="0" text="" dxfId="17">
      <formula>$H12="🔵 待確認"</formula>
    </cfRule>
  </conditionalFormatting>
  <dataValidations count="1">
    <dataValidation allowBlank="true" error="請填入整數數量（pcs），例如：500" errorStyle="stop" errorTitle="格式錯誤" operator="greaterThanOrEqual" prompt="請輸入該月預計採購數量（pcs）&#10;若本月無需求請填 0" promptTitle="填寫說明" showDropDown="false" showErrorMessage="true" showInputMessage="true" sqref="E12:J26" type="whole">
      <formula1>0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E12" activeCellId="0" sqref="E12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2" width="1.54"/>
    <col collapsed="false" customWidth="true" hidden="false" outlineLevel="0" max="2" min="2" style="56" width="16"/>
    <col collapsed="false" customWidth="true" hidden="false" outlineLevel="0" max="3" min="3" style="56" width="20.45"/>
    <col collapsed="false" customWidth="true" hidden="false" outlineLevel="0" max="4" min="4" style="56" width="9.36"/>
    <col collapsed="false" customWidth="true" hidden="false" outlineLevel="0" max="5" min="5" style="56" width="8"/>
    <col collapsed="false" customWidth="true" hidden="false" outlineLevel="0" max="6" min="6" style="56" width="13"/>
    <col collapsed="false" customWidth="true" hidden="false" outlineLevel="0" max="8" min="7" style="2" width="13"/>
    <col collapsed="false" customWidth="true" hidden="false" outlineLevel="0" max="9" min="9" style="2" width="9"/>
    <col collapsed="false" customWidth="true" hidden="false" outlineLevel="0" max="10" min="10" style="2" width="15.45"/>
    <col collapsed="false" customWidth="true" hidden="false" outlineLevel="0" max="11" min="11" style="2" width="10.36"/>
    <col collapsed="false" customWidth="true" hidden="false" outlineLevel="0" max="12" min="12" style="2" width="18"/>
    <col collapsed="false" customWidth="true" hidden="false" outlineLevel="0" max="13" min="13" style="2" width="1.54"/>
  </cols>
  <sheetData>
    <row r="1" customFormat="false" ht="7.5" hidden="false" customHeight="true" outlineLevel="0" collapsed="false">
      <c r="A1" s="30"/>
      <c r="B1" s="57"/>
      <c r="C1" s="57"/>
      <c r="D1" s="57"/>
      <c r="E1" s="57"/>
      <c r="F1" s="57"/>
      <c r="G1" s="30"/>
      <c r="H1" s="30"/>
      <c r="I1" s="30"/>
      <c r="J1" s="30"/>
      <c r="K1" s="30"/>
      <c r="L1" s="30"/>
    </row>
    <row r="2" customFormat="false" ht="45.75" hidden="false" customHeight="true" outlineLevel="0" collapsed="false">
      <c r="A2" s="30"/>
      <c r="B2" s="58" t="s">
        <v>106</v>
      </c>
      <c r="C2" s="58"/>
      <c r="D2" s="58"/>
      <c r="E2" s="58"/>
      <c r="F2" s="58"/>
      <c r="G2" s="58"/>
      <c r="H2" s="58"/>
      <c r="I2" s="58"/>
      <c r="J2" s="58"/>
      <c r="K2" s="58"/>
      <c r="L2" s="58"/>
    </row>
    <row r="3" customFormat="false" ht="24" hidden="false" customHeight="true" outlineLevel="0" collapsed="false">
      <c r="A3" s="30"/>
      <c r="B3" s="59" t="s">
        <v>107</v>
      </c>
      <c r="C3" s="59"/>
      <c r="D3" s="59"/>
      <c r="E3" s="59"/>
      <c r="F3" s="59"/>
      <c r="G3" s="59"/>
      <c r="H3" s="59"/>
      <c r="I3" s="59"/>
      <c r="J3" s="59" t="s">
        <v>108</v>
      </c>
      <c r="K3" s="59"/>
      <c r="L3" s="59"/>
    </row>
    <row r="4" customFormat="false" ht="6" hidden="false" customHeight="true" outlineLevel="0" collapsed="false">
      <c r="A4" s="30"/>
      <c r="B4" s="57"/>
      <c r="C4" s="57"/>
      <c r="D4" s="57"/>
      <c r="E4" s="57"/>
      <c r="F4" s="57"/>
      <c r="G4" s="30"/>
      <c r="H4" s="30"/>
      <c r="I4" s="30"/>
      <c r="J4" s="30"/>
      <c r="K4" s="30"/>
      <c r="L4" s="30"/>
    </row>
    <row r="5" customFormat="false" ht="21.75" hidden="false" customHeight="true" outlineLevel="0" collapsed="false">
      <c r="A5" s="30"/>
      <c r="B5" s="60" t="s">
        <v>109</v>
      </c>
      <c r="C5" s="60"/>
      <c r="D5" s="60"/>
      <c r="E5" s="60"/>
      <c r="F5" s="60"/>
      <c r="G5" s="60"/>
      <c r="H5" s="60"/>
      <c r="I5" s="60"/>
      <c r="J5" s="60"/>
      <c r="K5" s="60"/>
      <c r="L5" s="60"/>
    </row>
    <row r="6" customFormat="false" ht="18.75" hidden="false" customHeight="true" outlineLevel="0" collapsed="false">
      <c r="A6" s="30"/>
      <c r="B6" s="61" t="s">
        <v>110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customFormat="false" ht="18.75" hidden="false" customHeight="true" outlineLevel="0" collapsed="false">
      <c r="A7" s="30"/>
      <c r="B7" s="61" t="s">
        <v>111</v>
      </c>
      <c r="C7" s="61"/>
      <c r="D7" s="61"/>
      <c r="E7" s="61"/>
      <c r="F7" s="61"/>
      <c r="G7" s="61"/>
      <c r="H7" s="61"/>
      <c r="I7" s="61"/>
      <c r="J7" s="61"/>
      <c r="K7" s="61"/>
      <c r="L7" s="61"/>
    </row>
    <row r="8" customFormat="false" ht="18.75" hidden="false" customHeight="true" outlineLevel="0" collapsed="false">
      <c r="A8" s="30"/>
      <c r="B8" s="62" t="s">
        <v>112</v>
      </c>
      <c r="C8" s="62"/>
      <c r="D8" s="62"/>
      <c r="E8" s="62"/>
      <c r="F8" s="62"/>
      <c r="G8" s="62"/>
      <c r="H8" s="62"/>
      <c r="I8" s="62"/>
      <c r="J8" s="62"/>
      <c r="K8" s="62"/>
      <c r="L8" s="62"/>
    </row>
    <row r="9" customFormat="false" ht="7.5" hidden="false" customHeight="true" outlineLevel="0" collapsed="false">
      <c r="A9" s="30"/>
      <c r="B9" s="57"/>
      <c r="C9" s="57"/>
      <c r="D9" s="57"/>
      <c r="E9" s="57"/>
      <c r="F9" s="57"/>
      <c r="G9" s="30"/>
      <c r="H9" s="30"/>
      <c r="I9" s="30"/>
      <c r="J9" s="30"/>
      <c r="K9" s="30"/>
      <c r="L9" s="30"/>
    </row>
    <row r="10" customFormat="false" ht="19.5" hidden="false" customHeight="true" outlineLevel="0" collapsed="false">
      <c r="A10" s="30"/>
      <c r="B10" s="63" t="s">
        <v>113</v>
      </c>
      <c r="C10" s="63"/>
      <c r="D10" s="63"/>
      <c r="E10" s="63"/>
      <c r="F10" s="63"/>
      <c r="G10" s="63"/>
      <c r="H10" s="63"/>
      <c r="I10" s="63"/>
      <c r="J10" s="64" t="s">
        <v>114</v>
      </c>
      <c r="K10" s="64"/>
      <c r="L10" s="64"/>
    </row>
    <row r="11" customFormat="false" ht="36" hidden="false" customHeight="true" outlineLevel="0" collapsed="false">
      <c r="A11" s="30"/>
      <c r="B11" s="65" t="s">
        <v>95</v>
      </c>
      <c r="C11" s="65" t="s">
        <v>96</v>
      </c>
      <c r="D11" s="66" t="s">
        <v>6</v>
      </c>
      <c r="E11" s="65" t="s">
        <v>115</v>
      </c>
      <c r="F11" s="67" t="s">
        <v>116</v>
      </c>
      <c r="G11" s="68" t="s">
        <v>117</v>
      </c>
      <c r="H11" s="69" t="s">
        <v>118</v>
      </c>
      <c r="I11" s="70" t="s">
        <v>119</v>
      </c>
      <c r="J11" s="71" t="s">
        <v>120</v>
      </c>
      <c r="K11" s="72" t="s">
        <v>121</v>
      </c>
      <c r="L11" s="71" t="s">
        <v>122</v>
      </c>
    </row>
    <row r="12" customFormat="false" ht="27.75" hidden="false" customHeight="true" outlineLevel="0" collapsed="false">
      <c r="A12" s="30"/>
      <c r="B12" s="73" t="s">
        <v>39</v>
      </c>
      <c r="C12" s="73" t="s">
        <v>40</v>
      </c>
      <c r="D12" s="73" t="n">
        <v>269438</v>
      </c>
      <c r="E12" s="73" t="n">
        <v>4000</v>
      </c>
      <c r="F12" s="74" t="n">
        <v>46174</v>
      </c>
      <c r="G12" s="75"/>
      <c r="H12" s="76" t="str">
        <f aca="false">IF(ISNUMBER(G12),IF(G12&lt;=F12,"✅ 準時交貨",IF(G12-F12&lt;=7,"⚠️ 輕微延誤","🔴 建議Pull-in")),"🔵 待確認")</f>
        <v>🔵 待確認</v>
      </c>
      <c r="I12" s="77"/>
      <c r="J12" s="78"/>
      <c r="K12" s="79"/>
      <c r="L12" s="79"/>
    </row>
    <row r="13" customFormat="false" ht="27.75" hidden="false" customHeight="true" outlineLevel="0" collapsed="false">
      <c r="A13" s="30"/>
      <c r="B13" s="73" t="s">
        <v>39</v>
      </c>
      <c r="C13" s="73" t="s">
        <v>40</v>
      </c>
      <c r="D13" s="73" t="n">
        <v>269438</v>
      </c>
      <c r="E13" s="73" t="n">
        <v>4000</v>
      </c>
      <c r="F13" s="74" t="n">
        <v>46204</v>
      </c>
      <c r="G13" s="75"/>
      <c r="H13" s="76" t="str">
        <f aca="false">IF(ISNUMBER(G13),IF(G13&lt;=F13,"✅ 準時交貨",IF(G13-F13&lt;=7,"⚠️ 輕微延誤","🔴 建議Pull-in")),"🔵 待確認")</f>
        <v>🔵 待確認</v>
      </c>
      <c r="I13" s="77"/>
      <c r="J13" s="78"/>
      <c r="K13" s="79"/>
      <c r="L13" s="79"/>
    </row>
    <row r="14" customFormat="false" ht="27.75" hidden="false" customHeight="true" outlineLevel="0" collapsed="false">
      <c r="A14" s="30"/>
      <c r="B14" s="73" t="s">
        <v>39</v>
      </c>
      <c r="C14" s="73" t="s">
        <v>40</v>
      </c>
      <c r="D14" s="73" t="n">
        <v>269438</v>
      </c>
      <c r="E14" s="73" t="n">
        <v>4000</v>
      </c>
      <c r="F14" s="74" t="n">
        <v>46237</v>
      </c>
      <c r="G14" s="75"/>
      <c r="H14" s="76" t="str">
        <f aca="false">IF(ISNUMBER(G14),IF(G14&lt;=F14,"✅ 準時交貨",IF(G14-F14&lt;=7,"⚠️ 輕微延誤","🔴 建議Pull-in")),"🔵 待確認")</f>
        <v>🔵 待確認</v>
      </c>
      <c r="I14" s="77"/>
      <c r="J14" s="78"/>
      <c r="K14" s="79"/>
      <c r="L14" s="79"/>
    </row>
    <row r="15" customFormat="false" ht="27.75" hidden="false" customHeight="true" outlineLevel="0" collapsed="false">
      <c r="A15" s="30"/>
      <c r="B15" s="73" t="s">
        <v>39</v>
      </c>
      <c r="C15" s="73" t="s">
        <v>40</v>
      </c>
      <c r="D15" s="73" t="n">
        <v>269438</v>
      </c>
      <c r="E15" s="73" t="n">
        <v>4000</v>
      </c>
      <c r="F15" s="74" t="n">
        <v>46266</v>
      </c>
      <c r="G15" s="75"/>
      <c r="H15" s="76" t="str">
        <f aca="false">IF(ISNUMBER(G15),IF(G15&lt;=F15,"✅ 準時交貨",IF(G15-F15&lt;=7,"⚠️ 輕微延誤","🔴 建議Pull-in")),"🔵 待確認")</f>
        <v>🔵 待確認</v>
      </c>
      <c r="I15" s="77"/>
      <c r="J15" s="78"/>
      <c r="K15" s="79"/>
      <c r="L15" s="79"/>
    </row>
    <row r="16" customFormat="false" ht="27.75" hidden="false" customHeight="true" outlineLevel="0" collapsed="false">
      <c r="A16" s="30"/>
      <c r="B16" s="73" t="s">
        <v>39</v>
      </c>
      <c r="C16" s="73" t="s">
        <v>40</v>
      </c>
      <c r="D16" s="73" t="n">
        <v>269438</v>
      </c>
      <c r="E16" s="73" t="n">
        <v>5000</v>
      </c>
      <c r="F16" s="74" t="n">
        <v>46296</v>
      </c>
      <c r="G16" s="75"/>
      <c r="H16" s="76" t="str">
        <f aca="false">IF(ISNUMBER(G16),IF(G16&lt;=F16,"✅ 準時交貨",IF(G16-F16&lt;=7,"⚠️ 輕微延誤","🔴 建議Pull-in")),"🔵 待確認")</f>
        <v>🔵 待確認</v>
      </c>
      <c r="I16" s="77"/>
      <c r="J16" s="78"/>
      <c r="K16" s="79"/>
      <c r="L16" s="79"/>
    </row>
    <row r="17" customFormat="false" ht="27.75" hidden="false" customHeight="true" outlineLevel="0" collapsed="false">
      <c r="A17" s="30"/>
      <c r="B17" s="73" t="s">
        <v>33</v>
      </c>
      <c r="C17" s="73" t="s">
        <v>34</v>
      </c>
      <c r="D17" s="73" t="n">
        <v>225686</v>
      </c>
      <c r="E17" s="73" t="n">
        <v>1000</v>
      </c>
      <c r="F17" s="80" t="n">
        <v>46178</v>
      </c>
      <c r="G17" s="81" t="n">
        <v>46136</v>
      </c>
      <c r="H17" s="76" t="str">
        <f aca="false">IF(ISNUMBER(G17),IF(G17&lt;=F17,"✅ 準時交貨",IF(G17-F17&lt;=7,"⚠️ 輕微延誤","🔴 建議Pull-in")),"🔵 待確認")</f>
        <v>✅ 準時交貨</v>
      </c>
      <c r="I17" s="82" t="n">
        <f aca="false">IF(OR(G17="確認中",F17=""),"",G17-F17)</f>
        <v>-42</v>
      </c>
      <c r="J17" s="78"/>
      <c r="K17" s="79"/>
      <c r="L17" s="79"/>
    </row>
    <row r="18" customFormat="false" ht="27.75" hidden="false" customHeight="true" outlineLevel="0" collapsed="false">
      <c r="A18" s="30"/>
      <c r="B18" s="73" t="s">
        <v>33</v>
      </c>
      <c r="C18" s="73" t="s">
        <v>34</v>
      </c>
      <c r="D18" s="73" t="n">
        <v>225686</v>
      </c>
      <c r="E18" s="73" t="n">
        <v>1500</v>
      </c>
      <c r="F18" s="80" t="n">
        <v>46220</v>
      </c>
      <c r="G18" s="75"/>
      <c r="H18" s="76" t="str">
        <f aca="false">IF(ISNUMBER(G18),IF(G18&lt;=F18,"✅ 準時交貨",IF(G18-F18&lt;=7,"⚠️ 輕微延誤","🔴 建議Pull-in")),"🔵 待確認")</f>
        <v>🔵 待確認</v>
      </c>
      <c r="I18" s="77"/>
      <c r="J18" s="78"/>
      <c r="K18" s="79"/>
      <c r="L18" s="79"/>
    </row>
    <row r="19" customFormat="false" ht="27.75" hidden="false" customHeight="true" outlineLevel="0" collapsed="false">
      <c r="A19" s="30"/>
      <c r="B19" s="73" t="s">
        <v>52</v>
      </c>
      <c r="C19" s="73" t="s">
        <v>53</v>
      </c>
      <c r="D19" s="73" t="n">
        <v>689046</v>
      </c>
      <c r="E19" s="73" t="n">
        <v>1000</v>
      </c>
      <c r="F19" s="83" t="n">
        <v>46164</v>
      </c>
      <c r="G19" s="75"/>
      <c r="H19" s="76" t="str">
        <f aca="false">IF(ISNUMBER(G19),IF(G19&lt;=F19,"✅ 準時交貨",IF(G19-F19&lt;=7,"⚠️ 輕微延誤","🔴 建議Pull-in")),"🔵 待確認")</f>
        <v>🔵 待確認</v>
      </c>
      <c r="I19" s="84"/>
      <c r="J19" s="78"/>
      <c r="K19" s="79"/>
      <c r="L19" s="79"/>
    </row>
    <row r="20" customFormat="false" ht="27.75" hidden="false" customHeight="true" outlineLevel="0" collapsed="false">
      <c r="A20" s="30"/>
      <c r="B20" s="73" t="s">
        <v>52</v>
      </c>
      <c r="C20" s="73" t="s">
        <v>53</v>
      </c>
      <c r="D20" s="73" t="n">
        <v>689046</v>
      </c>
      <c r="E20" s="73" t="n">
        <v>2000</v>
      </c>
      <c r="F20" s="83" t="n">
        <v>46174</v>
      </c>
      <c r="G20" s="75"/>
      <c r="H20" s="76" t="str">
        <f aca="false">IF(ISNUMBER(G20),IF(G20&lt;=F20,"✅ 準時交貨",IF(G20-F20&lt;=7,"⚠️ 輕微延誤","🔴 建議Pull-in")),"🔵 待確認")</f>
        <v>🔵 待確認</v>
      </c>
      <c r="I20" s="77"/>
      <c r="J20" s="78"/>
      <c r="K20" s="79"/>
      <c r="L20" s="79"/>
    </row>
    <row r="21" customFormat="false" ht="27.75" hidden="false" customHeight="true" outlineLevel="0" collapsed="false">
      <c r="A21" s="30"/>
      <c r="B21" s="73" t="s">
        <v>52</v>
      </c>
      <c r="C21" s="73" t="s">
        <v>53</v>
      </c>
      <c r="D21" s="73" t="n">
        <v>689046</v>
      </c>
      <c r="E21" s="73" t="n">
        <v>3000</v>
      </c>
      <c r="F21" s="83" t="n">
        <v>46237</v>
      </c>
      <c r="G21" s="75"/>
      <c r="H21" s="76" t="str">
        <f aca="false">IF(ISNUMBER(G21),IF(G21&lt;=F21,"✅ 準時交貨",IF(G21-F21&lt;=7,"⚠️ 輕微延誤","🔴 建議Pull-in")),"🔵 待確認")</f>
        <v>🔵 待確認</v>
      </c>
      <c r="I21" s="77"/>
      <c r="J21" s="78"/>
      <c r="K21" s="79"/>
      <c r="L21" s="79"/>
    </row>
    <row r="22" customFormat="false" ht="27.75" hidden="false" customHeight="true" outlineLevel="0" collapsed="false">
      <c r="A22" s="30"/>
      <c r="B22" s="73" t="s">
        <v>48</v>
      </c>
      <c r="C22" s="73" t="s">
        <v>49</v>
      </c>
      <c r="D22" s="73" t="n">
        <v>395620</v>
      </c>
      <c r="E22" s="73" t="n">
        <v>2000</v>
      </c>
      <c r="F22" s="80" t="n">
        <v>46125</v>
      </c>
      <c r="G22" s="85" t="n">
        <v>46136</v>
      </c>
      <c r="H22" s="76" t="str">
        <f aca="false">IF(ISNUMBER(G22),IF(G22&lt;=F22,"✅ 準時交貨",IF(G22-F22&lt;=7,"⚠️ 輕微延誤","🔴 建議Pull-in")),"🔵 待確認")</f>
        <v>🔴 建議Pull-in</v>
      </c>
      <c r="I22" s="86" t="s">
        <v>123</v>
      </c>
      <c r="J22" s="78"/>
      <c r="K22" s="79"/>
      <c r="L22" s="79"/>
    </row>
    <row r="23" customFormat="false" ht="27.75" hidden="false" customHeight="true" outlineLevel="0" collapsed="false">
      <c r="A23" s="30"/>
      <c r="B23" s="73" t="s">
        <v>27</v>
      </c>
      <c r="C23" s="73" t="s">
        <v>28</v>
      </c>
      <c r="D23" s="73" t="n">
        <v>174828</v>
      </c>
      <c r="E23" s="73" t="n">
        <v>2000</v>
      </c>
      <c r="F23" s="87" t="n">
        <v>46129</v>
      </c>
      <c r="G23" s="88" t="n">
        <v>46136</v>
      </c>
      <c r="H23" s="76" t="str">
        <f aca="false">IF(ISNUMBER(G23),IF(G23&lt;=F23,"✅ 準時交貨",IF(G23-F23&lt;=7,"⚠️ 輕微延誤","🔴 建議Pull-in")),"🔵 待確認")</f>
        <v>⚠️ 輕微延誤</v>
      </c>
      <c r="I23" s="89" t="n">
        <f aca="false">IF(OR(G23="確認中",F23=""),"",G23-F23)</f>
        <v>7</v>
      </c>
      <c r="J23" s="78"/>
      <c r="K23" s="79"/>
      <c r="L23" s="79"/>
    </row>
    <row r="24" customFormat="false" ht="27.75" hidden="false" customHeight="true" outlineLevel="0" collapsed="false">
      <c r="A24" s="30"/>
      <c r="B24" s="73" t="s">
        <v>27</v>
      </c>
      <c r="C24" s="73" t="s">
        <v>28</v>
      </c>
      <c r="D24" s="73" t="n">
        <v>174828</v>
      </c>
      <c r="E24" s="90" t="n">
        <v>3000</v>
      </c>
      <c r="F24" s="91" t="n">
        <v>46164</v>
      </c>
      <c r="G24" s="88" t="n">
        <v>46164</v>
      </c>
      <c r="H24" s="76" t="str">
        <f aca="false">IF(ISNUMBER(G24),IF(G24&lt;=F24,"✅ 準時交貨",IF(G24-F24&lt;=7,"⚠️ 輕微延誤","🔴 建議Pull-in")),"🔵 待確認")</f>
        <v>✅ 準時交貨</v>
      </c>
      <c r="I24" s="89" t="n">
        <f aca="false">IF(AND(ISNUMBER(F24),ISNUMBER(G24)),G24-F24,"")</f>
        <v>0</v>
      </c>
      <c r="J24" s="92"/>
      <c r="K24" s="93"/>
      <c r="L24" s="93"/>
    </row>
    <row r="25" customFormat="false" ht="27.75" hidden="false" customHeight="true" outlineLevel="0" collapsed="false">
      <c r="A25" s="30"/>
      <c r="B25" s="73" t="s">
        <v>58</v>
      </c>
      <c r="C25" s="73" t="s">
        <v>59</v>
      </c>
      <c r="D25" s="73" t="s">
        <v>60</v>
      </c>
      <c r="E25" s="73" t="n">
        <v>30000</v>
      </c>
      <c r="F25" s="91" t="n">
        <v>46122</v>
      </c>
      <c r="G25" s="88" t="n">
        <v>46162</v>
      </c>
      <c r="H25" s="76" t="str">
        <f aca="false">IF(ISNUMBER(G25),IF(G25&lt;=F25,"✅ 準時交貨",IF(G25-F25&lt;=7,"⚠️ 輕微延誤","🔴 建議Pull-in")),"🔵 待確認")</f>
        <v>🔴 建議Pull-in</v>
      </c>
      <c r="I25" s="82" t="n">
        <f aca="false">IF(AND(ISNUMBER(F25),ISNUMBER(G25)),G25-F25,"")</f>
        <v>40</v>
      </c>
      <c r="J25" s="92"/>
      <c r="K25" s="93"/>
      <c r="L25" s="93"/>
    </row>
    <row r="26" customFormat="false" ht="27.75" hidden="false" customHeight="true" outlineLevel="0" collapsed="false">
      <c r="A26" s="30"/>
      <c r="B26" s="73" t="s">
        <v>58</v>
      </c>
      <c r="C26" s="73" t="s">
        <v>59</v>
      </c>
      <c r="D26" s="73" t="s">
        <v>60</v>
      </c>
      <c r="E26" s="73" t="n">
        <v>30000</v>
      </c>
      <c r="F26" s="94" t="n">
        <v>46156</v>
      </c>
      <c r="G26" s="94" t="n">
        <v>46162</v>
      </c>
      <c r="H26" s="76" t="str">
        <f aca="false">IF(ISNUMBER(G26),IF(G26&lt;=F26,"✅ 準時交貨",IF(G26-F26&lt;=7,"⚠️ 輕微延誤","🔴 建議Pull-in")),"🔵 待確認")</f>
        <v>⚠️ 輕微延誤</v>
      </c>
      <c r="I26" s="89" t="n">
        <f aca="false">IF(AND(ISNUMBER(F26),ISNUMBER(G26)),G26-F26,"")</f>
        <v>6</v>
      </c>
      <c r="J26" s="92"/>
      <c r="K26" s="93"/>
      <c r="L26" s="93"/>
    </row>
    <row r="27" customFormat="false" ht="27.75" hidden="false" customHeight="true" outlineLevel="0" collapsed="false">
      <c r="A27" s="30"/>
      <c r="B27" s="73" t="s">
        <v>58</v>
      </c>
      <c r="C27" s="73" t="s">
        <v>59</v>
      </c>
      <c r="D27" s="73" t="s">
        <v>60</v>
      </c>
      <c r="E27" s="56" t="n">
        <v>60000</v>
      </c>
      <c r="F27" s="94" t="n">
        <v>46198</v>
      </c>
      <c r="G27" s="75"/>
      <c r="H27" s="76" t="str">
        <f aca="false">IF(ISNUMBER(G27),IF(G27&lt;=F27,"✅ 準時交貨",IF(G27-F27&lt;=7,"⚠️ 輕微延誤","🔴 建議Pull-in")),"🔵 待確認")</f>
        <v>🔵 待確認</v>
      </c>
      <c r="I27" s="77"/>
      <c r="J27" s="92"/>
      <c r="K27" s="93"/>
      <c r="L27" s="93"/>
    </row>
    <row r="28" customFormat="false" ht="27.75" hidden="false" customHeight="true" outlineLevel="0" collapsed="false">
      <c r="A28" s="30"/>
      <c r="B28" s="73" t="s">
        <v>58</v>
      </c>
      <c r="C28" s="73" t="s">
        <v>59</v>
      </c>
      <c r="D28" s="73" t="s">
        <v>60</v>
      </c>
      <c r="E28" s="56" t="n">
        <v>30000</v>
      </c>
      <c r="F28" s="94" t="n">
        <v>46227</v>
      </c>
      <c r="G28" s="94" t="n">
        <v>46198</v>
      </c>
      <c r="H28" s="76" t="str">
        <f aca="false">IF(ISNUMBER(G28),IF(G28&lt;=F28,"✅ 準時交貨",IF(G28-F28&lt;=7,"⚠️ 輕微延誤","🔴 建議Pull-in")),"🔵 待確認")</f>
        <v>✅ 準時交貨</v>
      </c>
      <c r="I28" s="89"/>
      <c r="J28" s="92"/>
      <c r="K28" s="93"/>
      <c r="L28" s="93"/>
    </row>
    <row r="29" customFormat="false" ht="27.75" hidden="false" customHeight="true" outlineLevel="0" collapsed="false">
      <c r="A29" s="30"/>
      <c r="B29" s="73" t="s">
        <v>58</v>
      </c>
      <c r="C29" s="73" t="s">
        <v>59</v>
      </c>
      <c r="D29" s="73" t="s">
        <v>60</v>
      </c>
      <c r="E29" s="56" t="n">
        <v>30000</v>
      </c>
      <c r="F29" s="94" t="n">
        <v>46254</v>
      </c>
      <c r="G29" s="75"/>
      <c r="H29" s="76" t="str">
        <f aca="false">IF(ISNUMBER(G29),IF(G29&lt;=F29,"✅ 準時交貨",IF(G29-F29&lt;=7,"⚠️ 輕微延誤","🔴 建議Pull-in")),"🔵 待確認")</f>
        <v>🔵 待確認</v>
      </c>
      <c r="I29" s="77"/>
      <c r="J29" s="92"/>
      <c r="K29" s="93"/>
      <c r="L29" s="93"/>
    </row>
    <row r="30" customFormat="false" ht="27.75" hidden="false" customHeight="true" outlineLevel="0" collapsed="false">
      <c r="A30" s="30"/>
      <c r="B30" s="73" t="s">
        <v>58</v>
      </c>
      <c r="C30" s="73" t="s">
        <v>59</v>
      </c>
      <c r="D30" s="73" t="s">
        <v>60</v>
      </c>
      <c r="E30" s="56" t="n">
        <v>10000</v>
      </c>
      <c r="F30" s="94" t="n">
        <v>46296</v>
      </c>
      <c r="G30" s="75"/>
      <c r="H30" s="76" t="str">
        <f aca="false">IF(ISNUMBER(G30),IF(G30&lt;=F30,"✅ 準時交貨",IF(G30-F30&lt;=7,"⚠️ 輕微延誤","🔴 建議Pull-in")),"🔵 待確認")</f>
        <v>🔵 待確認</v>
      </c>
      <c r="I30" s="77"/>
      <c r="J30" s="92"/>
      <c r="K30" s="93"/>
      <c r="L30" s="93"/>
    </row>
    <row r="31" customFormat="false" ht="7.5" hidden="false" customHeight="true" outlineLevel="0" collapsed="false">
      <c r="A31" s="30"/>
      <c r="B31" s="57"/>
      <c r="C31" s="57"/>
      <c r="D31" s="57"/>
      <c r="E31" s="57"/>
      <c r="F31" s="57"/>
      <c r="G31" s="30"/>
      <c r="H31" s="30"/>
      <c r="I31" s="30"/>
      <c r="J31" s="30"/>
      <c r="K31" s="30"/>
      <c r="L31" s="30"/>
    </row>
    <row r="32" customFormat="false" ht="21.75" hidden="false" customHeight="true" outlineLevel="0" collapsed="false">
      <c r="A32" s="30"/>
      <c r="B32" s="63" t="s">
        <v>124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</row>
    <row r="33" customFormat="false" ht="18" hidden="false" customHeight="true" outlineLevel="0" collapsed="false">
      <c r="A33" s="30"/>
      <c r="B33" s="95" t="s">
        <v>125</v>
      </c>
      <c r="C33" s="95"/>
      <c r="D33" s="96" t="s">
        <v>126</v>
      </c>
      <c r="E33" s="96"/>
      <c r="F33" s="96"/>
      <c r="G33" s="96"/>
      <c r="H33" s="96"/>
      <c r="I33" s="96"/>
      <c r="J33" s="96"/>
      <c r="K33" s="96"/>
      <c r="L33" s="96"/>
    </row>
    <row r="34" customFormat="false" ht="18" hidden="false" customHeight="true" outlineLevel="0" collapsed="false">
      <c r="A34" s="30"/>
      <c r="B34" s="97" t="s">
        <v>127</v>
      </c>
      <c r="C34" s="97"/>
      <c r="D34" s="98" t="s">
        <v>128</v>
      </c>
      <c r="E34" s="98"/>
      <c r="F34" s="98"/>
      <c r="G34" s="98"/>
      <c r="H34" s="98"/>
      <c r="I34" s="98"/>
      <c r="J34" s="98"/>
      <c r="K34" s="98"/>
      <c r="L34" s="98"/>
    </row>
    <row r="35" customFormat="false" ht="18" hidden="false" customHeight="true" outlineLevel="0" collapsed="false">
      <c r="A35" s="30"/>
      <c r="B35" s="99" t="s">
        <v>129</v>
      </c>
      <c r="C35" s="99"/>
      <c r="D35" s="100" t="s">
        <v>130</v>
      </c>
      <c r="E35" s="100"/>
      <c r="F35" s="100"/>
      <c r="G35" s="100"/>
      <c r="H35" s="100"/>
      <c r="I35" s="100"/>
      <c r="J35" s="100"/>
      <c r="K35" s="100"/>
      <c r="L35" s="100"/>
    </row>
    <row r="36" customFormat="false" ht="18" hidden="false" customHeight="true" outlineLevel="0" collapsed="false">
      <c r="A36" s="30"/>
      <c r="B36" s="101" t="s">
        <v>131</v>
      </c>
      <c r="C36" s="101"/>
      <c r="D36" s="102" t="s">
        <v>132</v>
      </c>
      <c r="E36" s="102"/>
      <c r="F36" s="102"/>
      <c r="G36" s="102"/>
      <c r="H36" s="102"/>
      <c r="I36" s="102"/>
      <c r="J36" s="102"/>
      <c r="K36" s="102"/>
      <c r="L36" s="102"/>
    </row>
    <row r="37" customFormat="false" ht="7.5" hidden="false" customHeight="true" outlineLevel="0" collapsed="false">
      <c r="A37" s="30"/>
      <c r="B37" s="57"/>
      <c r="C37" s="57"/>
      <c r="D37" s="57"/>
      <c r="E37" s="57"/>
      <c r="F37" s="57"/>
      <c r="G37" s="30"/>
      <c r="H37" s="30"/>
      <c r="I37" s="30"/>
      <c r="J37" s="30"/>
      <c r="K37" s="30"/>
      <c r="L37" s="30"/>
    </row>
    <row r="38" customFormat="false" ht="27.75" hidden="false" customHeight="true" outlineLevel="0" collapsed="false">
      <c r="A38" s="30"/>
      <c r="B38" s="103" t="s">
        <v>133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</row>
  </sheetData>
  <mergeCells count="19">
    <mergeCell ref="B2:L2"/>
    <mergeCell ref="B3:I3"/>
    <mergeCell ref="J3:L3"/>
    <mergeCell ref="B5:L5"/>
    <mergeCell ref="B6:L6"/>
    <mergeCell ref="B7:L7"/>
    <mergeCell ref="B8:L8"/>
    <mergeCell ref="B10:I10"/>
    <mergeCell ref="J10:L10"/>
    <mergeCell ref="B32:L32"/>
    <mergeCell ref="B33:C33"/>
    <mergeCell ref="D33:L33"/>
    <mergeCell ref="B34:C34"/>
    <mergeCell ref="D34:L34"/>
    <mergeCell ref="B35:C35"/>
    <mergeCell ref="D35:L35"/>
    <mergeCell ref="B36:C36"/>
    <mergeCell ref="D36:L36"/>
    <mergeCell ref="B38:L38"/>
  </mergeCells>
  <conditionalFormatting sqref="B12:F16 B17:L17 B18:F21 B22:G26 B27:F27 B28:G28 B29:F30 H12:H16 H18:H30 I22:L26 I28:L28 J12:L16 J18:L21 J27:L27 J29:L30">
    <cfRule type="expression" priority="2" aboveAverage="0" equalAverage="0" bottom="0" percent="0" rank="0" text="" dxfId="14">
      <formula>$H12="✅ 準時交貨"</formula>
    </cfRule>
    <cfRule type="expression" priority="3" aboveAverage="0" equalAverage="0" bottom="0" percent="0" rank="0" text="" dxfId="15">
      <formula>$H12="⚠️ 輕微延誤"</formula>
    </cfRule>
    <cfRule type="expression" priority="4" aboveAverage="0" equalAverage="0" bottom="0" percent="0" rank="0" text="" dxfId="16">
      <formula>$H12="🔴 建議Pull-in"</formula>
    </cfRule>
    <cfRule type="expression" priority="5" aboveAverage="0" equalAverage="0" bottom="0" percent="0" rank="0" text="" dxfId="17">
      <formula>$H12="🔵 待確認"</formula>
    </cfRule>
  </conditionalFormatting>
  <conditionalFormatting sqref="I17 I22:I26 I28">
    <cfRule type="expression" priority="6" aboveAverage="0" equalAverage="0" bottom="0" percent="0" rank="0" text="" dxfId="18">
      <formula>AND(ISNUMBER(I17),I17&gt;0)</formula>
    </cfRule>
    <cfRule type="expression" priority="7" aboveAverage="0" equalAverage="0" bottom="0" percent="0" rank="0" text="" dxfId="19">
      <formula>AND(ISNUMBER(I17),I17&lt;=0)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2" width="6"/>
    <col collapsed="false" customWidth="true" hidden="false" outlineLevel="0" max="3" min="2" style="2" width="18"/>
    <col collapsed="false" customWidth="true" hidden="false" outlineLevel="0" max="4" min="4" style="2" width="14"/>
    <col collapsed="false" customWidth="true" hidden="false" outlineLevel="0" max="5" min="5" style="2" width="12"/>
    <col collapsed="false" customWidth="true" hidden="false" outlineLevel="0" max="6" min="6" style="2" width="14"/>
    <col collapsed="false" customWidth="true" hidden="false" outlineLevel="0" max="7" min="7" style="2" width="20"/>
    <col collapsed="false" customWidth="true" hidden="false" outlineLevel="0" max="10" min="8" style="2" width="14"/>
    <col collapsed="false" customWidth="true" hidden="false" outlineLevel="0" max="11" min="11" style="2" width="12"/>
    <col collapsed="false" customWidth="true" hidden="false" outlineLevel="0" max="12" min="12" style="2" width="16"/>
  </cols>
  <sheetData>
    <row r="1" customFormat="false" ht="36" hidden="false" customHeight="true" outlineLevel="0" collapsed="false">
      <c r="A1" s="104" t="s">
        <v>134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customFormat="false" ht="19.5" hidden="false" customHeight="true" outlineLevel="0" collapsed="false">
      <c r="A2" s="5" t="s">
        <v>135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36" hidden="false" customHeight="true" outlineLevel="0" collapsed="false">
      <c r="A3" s="6" t="s">
        <v>136</v>
      </c>
      <c r="B3" s="6" t="s">
        <v>4</v>
      </c>
      <c r="C3" s="6" t="s">
        <v>5</v>
      </c>
      <c r="D3" s="6" t="s">
        <v>137</v>
      </c>
      <c r="E3" s="6" t="s">
        <v>138</v>
      </c>
      <c r="F3" s="6" t="s">
        <v>139</v>
      </c>
      <c r="G3" s="6" t="s">
        <v>140</v>
      </c>
      <c r="H3" s="6" t="s">
        <v>141</v>
      </c>
      <c r="I3" s="6" t="s">
        <v>142</v>
      </c>
      <c r="J3" s="6" t="s">
        <v>143</v>
      </c>
      <c r="K3" s="6" t="s">
        <v>144</v>
      </c>
      <c r="L3" s="6" t="s">
        <v>18</v>
      </c>
    </row>
    <row r="4" customFormat="false" ht="19.5" hidden="false" customHeight="true" outlineLevel="0" collapsed="false">
      <c r="A4" s="105" t="n">
        <v>1</v>
      </c>
      <c r="B4" s="105" t="s">
        <v>145</v>
      </c>
      <c r="C4" s="105" t="s">
        <v>146</v>
      </c>
      <c r="D4" s="105" t="s">
        <v>147</v>
      </c>
      <c r="E4" s="105" t="s">
        <v>148</v>
      </c>
      <c r="F4" s="105" t="s">
        <v>149</v>
      </c>
      <c r="G4" s="106" t="s">
        <v>150</v>
      </c>
      <c r="H4" s="106" t="s">
        <v>151</v>
      </c>
      <c r="I4" s="106" t="s">
        <v>152</v>
      </c>
      <c r="J4" s="106" t="s">
        <v>153</v>
      </c>
      <c r="K4" s="105" t="s">
        <v>154</v>
      </c>
      <c r="L4" s="105"/>
    </row>
    <row r="5" customFormat="false" ht="19.5" hidden="false" customHeight="true" outlineLevel="0" collapsed="false">
      <c r="A5" s="107" t="n">
        <v>2</v>
      </c>
      <c r="B5" s="107" t="s">
        <v>155</v>
      </c>
      <c r="C5" s="107" t="s">
        <v>156</v>
      </c>
      <c r="D5" s="107" t="s">
        <v>157</v>
      </c>
      <c r="E5" s="107" t="s">
        <v>158</v>
      </c>
      <c r="F5" s="108" t="s">
        <v>159</v>
      </c>
      <c r="G5" s="108" t="s">
        <v>160</v>
      </c>
      <c r="H5" s="108" t="s">
        <v>161</v>
      </c>
      <c r="I5" s="108" t="s">
        <v>162</v>
      </c>
      <c r="J5" s="108" t="s">
        <v>163</v>
      </c>
      <c r="K5" s="107" t="s">
        <v>154</v>
      </c>
      <c r="L5" s="108" t="s">
        <v>164</v>
      </c>
    </row>
    <row r="6" customFormat="false" ht="19.5" hidden="false" customHeight="true" outlineLevel="0" collapsed="false">
      <c r="A6" s="109" t="str">
        <f aca="false">IF(B6&lt;&gt;"",ROW()-3,"")</f>
        <v/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customFormat="false" ht="19.5" hidden="false" customHeight="true" outlineLevel="0" collapsed="false">
      <c r="A7" s="111" t="str">
        <f aca="false">IF(B7&lt;&gt;"",ROW()-3,"")</f>
        <v/>
      </c>
      <c r="B7" s="107"/>
      <c r="C7" s="107"/>
      <c r="D7" s="107"/>
      <c r="E7" s="107"/>
      <c r="F7" s="108"/>
      <c r="G7" s="107"/>
      <c r="H7" s="107"/>
      <c r="I7" s="108"/>
      <c r="J7" s="107"/>
      <c r="K7" s="107"/>
      <c r="L7" s="107"/>
    </row>
    <row r="8" customFormat="false" ht="19.5" hidden="false" customHeight="true" outlineLevel="0" collapsed="false">
      <c r="A8" s="109" t="str">
        <f aca="false">IF(B8&lt;&gt;"",ROW()-3,"")</f>
        <v/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</row>
    <row r="9" customFormat="false" ht="19.5" hidden="false" customHeight="true" outlineLevel="0" collapsed="false">
      <c r="A9" s="111" t="str">
        <f aca="false">IF(B9&lt;&gt;"",ROW()-3,"")</f>
        <v/>
      </c>
      <c r="B9" s="107"/>
      <c r="C9" s="107"/>
      <c r="D9" s="107"/>
      <c r="E9" s="107"/>
      <c r="F9" s="108"/>
      <c r="G9" s="107"/>
      <c r="H9" s="107"/>
      <c r="I9" s="108"/>
      <c r="J9" s="107"/>
      <c r="K9" s="107"/>
      <c r="L9" s="107"/>
    </row>
    <row r="10" customFormat="false" ht="19.5" hidden="false" customHeight="true" outlineLevel="0" collapsed="false">
      <c r="A10" s="109" t="str">
        <f aca="false">IF(B10&lt;&gt;"",ROW()-3,"")</f>
        <v/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</row>
    <row r="11" customFormat="false" ht="19.5" hidden="false" customHeight="true" outlineLevel="0" collapsed="false">
      <c r="A11" s="111" t="str">
        <f aca="false">IF(B11&lt;&gt;"",ROW()-3,"")</f>
        <v/>
      </c>
      <c r="B11" s="107"/>
      <c r="C11" s="107"/>
      <c r="D11" s="107"/>
      <c r="E11" s="107"/>
      <c r="F11" s="108"/>
      <c r="G11" s="107"/>
      <c r="H11" s="107"/>
      <c r="I11" s="108"/>
      <c r="J11" s="107"/>
      <c r="K11" s="107"/>
      <c r="L11" s="107"/>
    </row>
    <row r="12" customFormat="false" ht="19.5" hidden="false" customHeight="true" outlineLevel="0" collapsed="false">
      <c r="A12" s="109" t="str">
        <f aca="false">IF(B12&lt;&gt;"",ROW()-3,"")</f>
        <v/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</row>
    <row r="13" customFormat="false" ht="19.5" hidden="false" customHeight="true" outlineLevel="0" collapsed="false">
      <c r="A13" s="111" t="str">
        <f aca="false">IF(B13&lt;&gt;"",ROW()-3,"")</f>
        <v/>
      </c>
      <c r="B13" s="107"/>
      <c r="C13" s="107"/>
      <c r="D13" s="107"/>
      <c r="E13" s="107"/>
      <c r="F13" s="108"/>
      <c r="G13" s="107"/>
      <c r="H13" s="107"/>
      <c r="I13" s="108"/>
      <c r="J13" s="107"/>
      <c r="K13" s="107"/>
      <c r="L13" s="107"/>
    </row>
    <row r="14" customFormat="false" ht="19.5" hidden="false" customHeight="true" outlineLevel="0" collapsed="false">
      <c r="A14" s="109" t="str">
        <f aca="false">IF(B14&lt;&gt;"",ROW()-3,"")</f>
        <v/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</row>
    <row r="15" customFormat="false" ht="19.5" hidden="false" customHeight="true" outlineLevel="0" collapsed="false">
      <c r="A15" s="111" t="str">
        <f aca="false">IF(B15&lt;&gt;"",ROW()-3,"")</f>
        <v/>
      </c>
      <c r="B15" s="107"/>
      <c r="C15" s="107"/>
      <c r="D15" s="107"/>
      <c r="E15" s="107"/>
      <c r="F15" s="108"/>
      <c r="G15" s="107"/>
      <c r="H15" s="107"/>
      <c r="I15" s="108"/>
      <c r="J15" s="107"/>
      <c r="K15" s="107"/>
      <c r="L15" s="107"/>
    </row>
    <row r="16" customFormat="false" ht="19.5" hidden="false" customHeight="true" outlineLevel="0" collapsed="false">
      <c r="A16" s="109" t="str">
        <f aca="false">IF(B16&lt;&gt;"",ROW()-3,"")</f>
        <v/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</row>
    <row r="17" customFormat="false" ht="19.5" hidden="false" customHeight="true" outlineLevel="0" collapsed="false">
      <c r="A17" s="111" t="str">
        <f aca="false">IF(B17&lt;&gt;"",ROW()-3,"")</f>
        <v/>
      </c>
      <c r="B17" s="107"/>
      <c r="C17" s="107"/>
      <c r="D17" s="107"/>
      <c r="E17" s="107"/>
      <c r="F17" s="108"/>
      <c r="G17" s="107"/>
      <c r="H17" s="107"/>
      <c r="I17" s="108"/>
      <c r="J17" s="107"/>
      <c r="K17" s="107"/>
      <c r="L17" s="107"/>
    </row>
    <row r="18" customFormat="false" ht="19.5" hidden="false" customHeight="true" outlineLevel="0" collapsed="false">
      <c r="A18" s="109" t="str">
        <f aca="false">IF(B18&lt;&gt;"",ROW()-3,"")</f>
        <v/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</row>
    <row r="19" customFormat="false" ht="19.5" hidden="false" customHeight="true" outlineLevel="0" collapsed="false">
      <c r="A19" s="111" t="str">
        <f aca="false">IF(B19&lt;&gt;"",ROW()-3,"")</f>
        <v/>
      </c>
      <c r="B19" s="107"/>
      <c r="C19" s="107"/>
      <c r="D19" s="107"/>
      <c r="E19" s="107"/>
      <c r="F19" s="108"/>
      <c r="G19" s="107"/>
      <c r="H19" s="107"/>
      <c r="I19" s="108"/>
      <c r="J19" s="107"/>
      <c r="K19" s="107"/>
      <c r="L19" s="107"/>
    </row>
    <row r="20" customFormat="false" ht="19.5" hidden="false" customHeight="true" outlineLevel="0" collapsed="false">
      <c r="A20" s="109" t="str">
        <f aca="false">IF(B20&lt;&gt;"",ROW()-3,"")</f>
        <v/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</row>
    <row r="21" customFormat="false" ht="19.5" hidden="false" customHeight="true" outlineLevel="0" collapsed="false">
      <c r="A21" s="111" t="str">
        <f aca="false">IF(B21&lt;&gt;"",ROW()-3,"")</f>
        <v/>
      </c>
      <c r="B21" s="107"/>
      <c r="C21" s="107"/>
      <c r="D21" s="107"/>
      <c r="E21" s="107"/>
      <c r="F21" s="108"/>
      <c r="G21" s="107"/>
      <c r="H21" s="107"/>
      <c r="I21" s="108"/>
      <c r="J21" s="107"/>
      <c r="K21" s="107"/>
      <c r="L21" s="107"/>
    </row>
    <row r="22" customFormat="false" ht="19.5" hidden="false" customHeight="true" outlineLevel="0" collapsed="false">
      <c r="A22" s="109" t="str">
        <f aca="false">IF(B22&lt;&gt;"",ROW()-3,"")</f>
        <v/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</row>
    <row r="23" customFormat="false" ht="19.5" hidden="false" customHeight="true" outlineLevel="0" collapsed="false">
      <c r="A23" s="111" t="str">
        <f aca="false">IF(B23&lt;&gt;"",ROW()-3,"")</f>
        <v/>
      </c>
      <c r="B23" s="107"/>
      <c r="C23" s="107"/>
      <c r="D23" s="107"/>
      <c r="E23" s="107"/>
      <c r="F23" s="108"/>
      <c r="G23" s="107"/>
      <c r="H23" s="107"/>
      <c r="I23" s="108"/>
      <c r="J23" s="107"/>
      <c r="K23" s="107"/>
      <c r="L23" s="107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F4:F23" type="list">
      <formula1>"Email,電話,電話+Email,現場拜訪,視訊會議"</formula1>
      <formula2>0</formula2>
    </dataValidation>
    <dataValidation allowBlank="true" errorStyle="stop" operator="between" showDropDown="false" showErrorMessage="false" showInputMessage="false" sqref="I4:I23" type="list">
      <formula1>"是,否,部分符合"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C35" activeCellId="0" sqref="C35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22"/>
    <col collapsed="false" customWidth="true" hidden="false" outlineLevel="0" max="3" min="3" style="2" width="55"/>
  </cols>
  <sheetData>
    <row r="1" customFormat="false" ht="36" hidden="false" customHeight="true" outlineLevel="0" collapsed="false">
      <c r="A1" s="112" t="s">
        <v>165</v>
      </c>
      <c r="B1" s="112"/>
      <c r="C1" s="112"/>
    </row>
    <row r="2" customFormat="false" ht="7.5" hidden="false" customHeight="true" outlineLevel="0" collapsed="false">
      <c r="A2" s="30"/>
      <c r="B2" s="30"/>
      <c r="C2" s="30"/>
    </row>
    <row r="3" customFormat="false" ht="21.75" hidden="false" customHeight="true" outlineLevel="0" collapsed="false">
      <c r="A3" s="30"/>
      <c r="B3" s="113" t="s">
        <v>166</v>
      </c>
      <c r="C3" s="113"/>
    </row>
    <row r="4" customFormat="false" ht="18" hidden="false" customHeight="true" outlineLevel="0" collapsed="false">
      <c r="A4" s="30"/>
      <c r="B4" s="114" t="s">
        <v>167</v>
      </c>
      <c r="C4" s="115" t="s">
        <v>168</v>
      </c>
    </row>
    <row r="5" customFormat="false" ht="18" hidden="false" customHeight="true" outlineLevel="0" collapsed="false">
      <c r="A5" s="30"/>
      <c r="B5" s="114" t="s">
        <v>169</v>
      </c>
      <c r="C5" s="115" t="s">
        <v>170</v>
      </c>
    </row>
    <row r="6" customFormat="false" ht="18" hidden="false" customHeight="true" outlineLevel="0" collapsed="false">
      <c r="A6" s="30"/>
      <c r="B6" s="114" t="s">
        <v>171</v>
      </c>
      <c r="C6" s="115" t="s">
        <v>172</v>
      </c>
    </row>
    <row r="7" customFormat="false" ht="7.5" hidden="false" customHeight="true" outlineLevel="0" collapsed="false">
      <c r="A7" s="30"/>
      <c r="B7" s="30"/>
      <c r="C7" s="30"/>
    </row>
    <row r="8" customFormat="false" ht="21.75" hidden="false" customHeight="true" outlineLevel="0" collapsed="false">
      <c r="A8" s="30"/>
      <c r="B8" s="113" t="s">
        <v>173</v>
      </c>
      <c r="C8" s="113"/>
    </row>
    <row r="9" customFormat="false" ht="18" hidden="false" customHeight="true" outlineLevel="0" collapsed="false">
      <c r="A9" s="30"/>
      <c r="B9" s="114" t="s">
        <v>174</v>
      </c>
      <c r="C9" s="115" t="s">
        <v>175</v>
      </c>
    </row>
    <row r="10" customFormat="false" ht="18" hidden="false" customHeight="true" outlineLevel="0" collapsed="false">
      <c r="A10" s="30"/>
      <c r="B10" s="114" t="s">
        <v>176</v>
      </c>
      <c r="C10" s="115" t="s">
        <v>177</v>
      </c>
    </row>
    <row r="11" customFormat="false" ht="18" hidden="false" customHeight="true" outlineLevel="0" collapsed="false">
      <c r="A11" s="30"/>
      <c r="B11" s="114" t="s">
        <v>11</v>
      </c>
      <c r="C11" s="115" t="s">
        <v>178</v>
      </c>
    </row>
    <row r="12" customFormat="false" ht="18" hidden="false" customHeight="true" outlineLevel="0" collapsed="false">
      <c r="A12" s="30"/>
      <c r="B12" s="114" t="s">
        <v>13</v>
      </c>
      <c r="C12" s="115" t="s">
        <v>179</v>
      </c>
    </row>
    <row r="13" customFormat="false" ht="18" hidden="false" customHeight="true" outlineLevel="0" collapsed="false">
      <c r="A13" s="30"/>
      <c r="B13" s="114" t="s">
        <v>180</v>
      </c>
      <c r="C13" s="115" t="s">
        <v>181</v>
      </c>
    </row>
    <row r="14" customFormat="false" ht="18" hidden="false" customHeight="true" outlineLevel="0" collapsed="false">
      <c r="A14" s="30"/>
      <c r="B14" s="114" t="s">
        <v>182</v>
      </c>
      <c r="C14" s="115" t="s">
        <v>183</v>
      </c>
    </row>
    <row r="15" customFormat="false" ht="18" hidden="false" customHeight="true" outlineLevel="0" collapsed="false">
      <c r="A15" s="30"/>
      <c r="B15" s="114" t="s">
        <v>184</v>
      </c>
      <c r="C15" s="115" t="s">
        <v>185</v>
      </c>
    </row>
    <row r="16" customFormat="false" ht="7.5" hidden="false" customHeight="true" outlineLevel="0" collapsed="false">
      <c r="A16" s="30"/>
      <c r="B16" s="30"/>
      <c r="C16" s="30"/>
    </row>
    <row r="17" customFormat="false" ht="21.75" hidden="false" customHeight="true" outlineLevel="0" collapsed="false">
      <c r="A17" s="30"/>
      <c r="B17" s="113" t="s">
        <v>186</v>
      </c>
      <c r="C17" s="113"/>
    </row>
    <row r="18" customFormat="false" ht="18" hidden="false" customHeight="true" outlineLevel="0" collapsed="false">
      <c r="A18" s="30"/>
      <c r="B18" s="114" t="s">
        <v>187</v>
      </c>
      <c r="C18" s="115" t="s">
        <v>188</v>
      </c>
    </row>
    <row r="19" customFormat="false" ht="18" hidden="false" customHeight="true" outlineLevel="0" collapsed="false">
      <c r="A19" s="30"/>
      <c r="B19" s="114" t="s">
        <v>189</v>
      </c>
      <c r="C19" s="115" t="s">
        <v>190</v>
      </c>
    </row>
    <row r="20" customFormat="false" ht="18" hidden="false" customHeight="true" outlineLevel="0" collapsed="false">
      <c r="A20" s="30"/>
      <c r="B20" s="114" t="s">
        <v>191</v>
      </c>
      <c r="C20" s="115" t="s">
        <v>192</v>
      </c>
    </row>
    <row r="21" customFormat="false" ht="18" hidden="false" customHeight="true" outlineLevel="0" collapsed="false">
      <c r="A21" s="30"/>
      <c r="B21" s="114" t="s">
        <v>193</v>
      </c>
      <c r="C21" s="115" t="s">
        <v>194</v>
      </c>
    </row>
    <row r="22" customFormat="false" ht="18" hidden="false" customHeight="true" outlineLevel="0" collapsed="false">
      <c r="A22" s="30"/>
      <c r="B22" s="114" t="s">
        <v>195</v>
      </c>
      <c r="C22" s="115" t="s">
        <v>196</v>
      </c>
    </row>
    <row r="23" customFormat="false" ht="18" hidden="false" customHeight="true" outlineLevel="0" collapsed="false">
      <c r="A23" s="30"/>
      <c r="B23" s="114" t="s">
        <v>197</v>
      </c>
      <c r="C23" s="115" t="s">
        <v>198</v>
      </c>
    </row>
    <row r="24" customFormat="false" ht="18" hidden="false" customHeight="true" outlineLevel="0" collapsed="false">
      <c r="A24" s="30"/>
      <c r="B24" s="114" t="s">
        <v>199</v>
      </c>
      <c r="C24" s="115" t="s">
        <v>200</v>
      </c>
    </row>
    <row r="25" customFormat="false" ht="18" hidden="false" customHeight="true" outlineLevel="0" collapsed="false">
      <c r="A25" s="30"/>
      <c r="B25" s="114" t="s">
        <v>201</v>
      </c>
      <c r="C25" s="115" t="s">
        <v>202</v>
      </c>
    </row>
    <row r="26" customFormat="false" ht="7.5" hidden="false" customHeight="true" outlineLevel="0" collapsed="false">
      <c r="A26" s="30"/>
      <c r="B26" s="30"/>
      <c r="C26" s="30"/>
    </row>
    <row r="27" customFormat="false" ht="21.75" hidden="false" customHeight="true" outlineLevel="0" collapsed="false">
      <c r="A27" s="30"/>
      <c r="B27" s="113" t="s">
        <v>203</v>
      </c>
      <c r="C27" s="113"/>
    </row>
    <row r="28" customFormat="false" ht="18" hidden="false" customHeight="true" outlineLevel="0" collapsed="false">
      <c r="A28" s="30"/>
      <c r="B28" s="116" t="s">
        <v>204</v>
      </c>
      <c r="C28" s="115" t="s">
        <v>205</v>
      </c>
    </row>
    <row r="29" customFormat="false" ht="18" hidden="false" customHeight="true" outlineLevel="0" collapsed="false">
      <c r="A29" s="30"/>
      <c r="B29" s="116" t="s">
        <v>206</v>
      </c>
      <c r="C29" s="115" t="s">
        <v>207</v>
      </c>
    </row>
    <row r="30" customFormat="false" ht="18" hidden="false" customHeight="true" outlineLevel="0" collapsed="false">
      <c r="A30" s="30"/>
      <c r="B30" s="116" t="s">
        <v>208</v>
      </c>
      <c r="C30" s="117" t="s">
        <v>209</v>
      </c>
    </row>
    <row r="31" customFormat="false" ht="18" hidden="false" customHeight="true" outlineLevel="0" collapsed="false">
      <c r="A31" s="30"/>
      <c r="B31" s="116" t="s">
        <v>210</v>
      </c>
      <c r="C31" s="115" t="s">
        <v>211</v>
      </c>
    </row>
    <row r="32" customFormat="false" ht="14.25" hidden="false" customHeight="true" outlineLevel="0" collapsed="false">
      <c r="A32" s="30"/>
      <c r="B32" s="30"/>
      <c r="C32" s="30"/>
    </row>
    <row r="33" customFormat="false" ht="21.75" hidden="false" customHeight="true" outlineLevel="0" collapsed="false">
      <c r="A33" s="30"/>
      <c r="B33" s="118" t="s">
        <v>212</v>
      </c>
      <c r="C33" s="118"/>
    </row>
    <row r="34" customFormat="false" ht="18" hidden="false" customHeight="true" outlineLevel="0" collapsed="false">
      <c r="A34" s="30"/>
      <c r="B34" s="119" t="s">
        <v>213</v>
      </c>
      <c r="C34" s="117" t="s">
        <v>214</v>
      </c>
    </row>
    <row r="35" customFormat="false" ht="18" hidden="false" customHeight="true" outlineLevel="0" collapsed="false">
      <c r="A35" s="30"/>
      <c r="B35" s="119" t="s">
        <v>215</v>
      </c>
      <c r="C35" s="115" t="s">
        <v>216</v>
      </c>
    </row>
    <row r="36" customFormat="false" ht="18" hidden="false" customHeight="true" outlineLevel="0" collapsed="false">
      <c r="A36" s="30"/>
      <c r="B36" s="114" t="s">
        <v>217</v>
      </c>
      <c r="C36" s="115" t="s">
        <v>218</v>
      </c>
    </row>
    <row r="37" customFormat="false" ht="18" hidden="false" customHeight="true" outlineLevel="0" collapsed="false">
      <c r="A37" s="30"/>
      <c r="B37" s="114" t="s">
        <v>219</v>
      </c>
      <c r="C37" s="117" t="s">
        <v>220</v>
      </c>
    </row>
    <row r="38" customFormat="false" ht="18" hidden="false" customHeight="true" outlineLevel="0" collapsed="false">
      <c r="A38" s="30"/>
      <c r="B38" s="114" t="s">
        <v>221</v>
      </c>
      <c r="C38" s="115" t="s">
        <v>222</v>
      </c>
    </row>
  </sheetData>
  <mergeCells count="6">
    <mergeCell ref="A1:C1"/>
    <mergeCell ref="B3:C3"/>
    <mergeCell ref="B8:C8"/>
    <mergeCell ref="B17:C17"/>
    <mergeCell ref="B27:C27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2026-04-15T13:05:48Z</dcterms:created>
  <dc:creator>openpyxl</dc:creator>
  <dc:description/>
  <dc:language>en-US</dc:language>
  <cp:lastModifiedBy>Tricia Tsai NDB</cp:lastModifiedBy>
  <dcterms:modified xsi:type="dcterms:W3CDTF">2026-04-15T16:43:58Z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